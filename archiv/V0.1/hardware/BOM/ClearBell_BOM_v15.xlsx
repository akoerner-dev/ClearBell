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b865420c7e5c01/Projekte/ClearBell/04_BOM/"/>
    </mc:Choice>
  </mc:AlternateContent>
  <xr:revisionPtr revIDLastSave="111" documentId="11_81454D4BF2DF4BDA7380C4FCE3090E5108F04C31" xr6:coauthVersionLast="47" xr6:coauthVersionMax="47" xr10:uidLastSave="{BBC81A0D-7FBA-4891-BF9E-6E14CB1F592C}"/>
  <bookViews>
    <workbookView xWindow="-120" yWindow="-120" windowWidth="29040" windowHeight="15720" activeTab="1" xr2:uid="{00000000-000D-0000-FFFF-FFFF00000000}"/>
  </bookViews>
  <sheets>
    <sheet name="Vollständige BOM" sheetId="1" r:id="rId1"/>
    <sheet name="Digikey Upload" sheetId="2" r:id="rId2"/>
    <sheet name="Mouser Upload" sheetId="3" r:id="rId3"/>
  </sheets>
  <definedNames>
    <definedName name="_xlnm._FilterDatabase" localSheetId="1" hidden="1">'Digikey Upload'!$A$1:$C$33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2" i="1" l="1"/>
  <c r="K101" i="1"/>
  <c r="K100" i="1"/>
  <c r="K99" i="1"/>
  <c r="K98" i="1"/>
  <c r="K97" i="1"/>
  <c r="K96" i="1"/>
  <c r="K95" i="1"/>
  <c r="K103" i="1" s="1"/>
  <c r="K94" i="1"/>
  <c r="K93" i="1"/>
  <c r="K90" i="1"/>
  <c r="K89" i="1"/>
  <c r="K91" i="1" s="1"/>
  <c r="K87" i="1"/>
  <c r="K86" i="1"/>
  <c r="K85" i="1"/>
  <c r="K84" i="1"/>
  <c r="K83" i="1"/>
  <c r="K82" i="1"/>
  <c r="K81" i="1"/>
  <c r="K80" i="1"/>
  <c r="K79" i="1"/>
  <c r="K78" i="1"/>
  <c r="K77" i="1"/>
  <c r="K76" i="1"/>
  <c r="K74" i="1"/>
  <c r="K73" i="1"/>
  <c r="K72" i="1"/>
  <c r="K71" i="1"/>
  <c r="K70" i="1"/>
  <c r="K69" i="1"/>
  <c r="K68" i="1"/>
  <c r="K67" i="1"/>
  <c r="K66" i="1"/>
  <c r="K63" i="1"/>
  <c r="K64" i="1" s="1"/>
  <c r="K60" i="1"/>
  <c r="K61" i="1" s="1"/>
  <c r="K59" i="1"/>
  <c r="K58" i="1"/>
  <c r="K57" i="1"/>
  <c r="K56" i="1"/>
  <c r="K53" i="1"/>
  <c r="K52" i="1"/>
  <c r="K51" i="1"/>
  <c r="K50" i="1"/>
  <c r="K49" i="1"/>
  <c r="K48" i="1"/>
  <c r="K47" i="1"/>
  <c r="K54" i="1" s="1"/>
  <c r="K46" i="1"/>
  <c r="K45" i="1"/>
  <c r="K44" i="1"/>
  <c r="K43" i="1"/>
  <c r="K41" i="1"/>
  <c r="K40" i="1"/>
  <c r="K39" i="1"/>
  <c r="K38" i="1"/>
  <c r="K37" i="1"/>
  <c r="K34" i="1"/>
  <c r="K33" i="1"/>
  <c r="K35" i="1" s="1"/>
  <c r="K32" i="1"/>
  <c r="K31" i="1"/>
  <c r="K30" i="1"/>
  <c r="K29" i="1"/>
  <c r="K28" i="1"/>
  <c r="K27" i="1"/>
  <c r="K26" i="1"/>
  <c r="K25" i="1"/>
  <c r="K24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22" i="1" s="1"/>
  <c r="K7" i="1"/>
  <c r="K6" i="1"/>
  <c r="K105" i="1" l="1"/>
  <c r="K106" i="1"/>
  <c r="K108" i="1" l="1"/>
</calcChain>
</file>

<file path=xl/sharedStrings.xml><?xml version="1.0" encoding="utf-8"?>
<sst xmlns="http://schemas.openxmlformats.org/spreadsheetml/2006/main" count="806" uniqueCount="373">
  <si>
    <t>ClearBell – Stückliste Außeneinheit + Inneneinheit</t>
  </si>
  <si>
    <t>Rev. 15 | Inneneinheit Lautsprecher: K 50 SQ (Art. 2897) | PCB Inneneinheit 60x75mm | 2026-05-13</t>
  </si>
  <si>
    <t>Ref.</t>
  </si>
  <si>
    <t>Bezeichnung</t>
  </si>
  <si>
    <t>Wert / Typ</t>
  </si>
  <si>
    <t>Gehäuse</t>
  </si>
  <si>
    <t>Hersteller</t>
  </si>
  <si>
    <t>Hersteller-Teilenr.</t>
  </si>
  <si>
    <t>Lieferant</t>
  </si>
  <si>
    <t>Lieferant-Teilenr.</t>
  </si>
  <si>
    <t>Menge</t>
  </si>
  <si>
    <t>Preis/Stk (€)</t>
  </si>
  <si>
    <t>Gesamt (€)</t>
  </si>
  <si>
    <t>Notiz</t>
  </si>
  <si>
    <t>BLOCK 1 – STROMVERSORGUNG AUSSENEINHEIT</t>
  </si>
  <si>
    <t>U1</t>
  </si>
  <si>
    <t>Step-Down Regler</t>
  </si>
  <si>
    <t>LMR33630CDDAR</t>
  </si>
  <si>
    <t>8SOPWR</t>
  </si>
  <si>
    <t>Texas Instruments</t>
  </si>
  <si>
    <t>Mouser</t>
  </si>
  <si>
    <t xml:space="preserve">595-LMR33630CDDAR </t>
  </si>
  <si>
    <t>Step-Down 12V→3,3V, -40..+125°C</t>
  </si>
  <si>
    <t>L1</t>
  </si>
  <si>
    <t>Speicherspule</t>
  </si>
  <si>
    <t>1,8µH 26mΩ 6,05A</t>
  </si>
  <si>
    <t>5×5mm SMD</t>
  </si>
  <si>
    <t>Würth Elektronik</t>
  </si>
  <si>
    <t>74438356018HT</t>
  </si>
  <si>
    <t>Digikey</t>
  </si>
  <si>
    <t>732-74438356018HTTR-ND</t>
  </si>
  <si>
    <t>SRF 37,5MHz, IDC 6,05A</t>
  </si>
  <si>
    <t>Q1</t>
  </si>
  <si>
    <t>P-Kanal MOSFET</t>
  </si>
  <si>
    <t>20V 4,2A 40mΩ</t>
  </si>
  <si>
    <t>SOT-23-3</t>
  </si>
  <si>
    <t>Diodes Inc.</t>
  </si>
  <si>
    <t>DMG2305UX-7</t>
  </si>
  <si>
    <t>DMG2305UX-7DICT-ND</t>
  </si>
  <si>
    <t>Verpolschutz Eingang; VGS-Clamp via DZ1 (Gate-Source) erforderlich</t>
  </si>
  <si>
    <t>DZ1</t>
  </si>
  <si>
    <t>Zener-Diode</t>
  </si>
  <si>
    <t>7,5V 250mW</t>
  </si>
  <si>
    <t>SOT-23</t>
  </si>
  <si>
    <t>Nexperia</t>
  </si>
  <si>
    <t>BZX84-C7V5,215</t>
  </si>
  <si>
    <t>1727-5040-2-ND</t>
  </si>
  <si>
    <t>VGS-Clamp Q1 Gate-Source; begrenzt VGS auf -7,5V; 1727-5040-1-ND verifiziert (Nexperia-Code 1727, Pattern konsistent)</t>
  </si>
  <si>
    <t>D1</t>
  </si>
  <si>
    <t>TVS-Diode</t>
  </si>
  <si>
    <t>15V unidirektional</t>
  </si>
  <si>
    <t>DO-214AA</t>
  </si>
  <si>
    <t>Vishay</t>
  </si>
  <si>
    <t>SMBJ15A-E3/52</t>
  </si>
  <si>
    <t>SMBJ15A-E3/52GITR-ND</t>
  </si>
  <si>
    <t>Klemmspg. 24,4V max.</t>
  </si>
  <si>
    <t>Rfbt</t>
  </si>
  <si>
    <t>Widerstand</t>
  </si>
  <si>
    <t>100kΩ ±1% 0,1W</t>
  </si>
  <si>
    <t>0603</t>
  </si>
  <si>
    <t>Yageo</t>
  </si>
  <si>
    <t>RC0603FR-07100KL</t>
  </si>
  <si>
    <t>311-100KHRCT-ND</t>
  </si>
  <si>
    <t>Spannungsteiler oben, 10er Gebinde</t>
  </si>
  <si>
    <t>Rfbb</t>
  </si>
  <si>
    <t>43,2kΩ ±1% 0,1W</t>
  </si>
  <si>
    <t>RC0603FR-0743K2L</t>
  </si>
  <si>
    <t>311-43.2KHRCT-ND</t>
  </si>
  <si>
    <t>Spannungsteiler unten, 10er Gebinde</t>
  </si>
  <si>
    <t>Rpg</t>
  </si>
  <si>
    <t>Power-Good, gleicher Typ wie Rfbt</t>
  </si>
  <si>
    <t>Cin</t>
  </si>
  <si>
    <t>Keramikkondensator</t>
  </si>
  <si>
    <t>10µF 25V X7R</t>
  </si>
  <si>
    <t>0805</t>
  </si>
  <si>
    <t>Murata</t>
  </si>
  <si>
    <t>GRM21BZ71E106KE15L</t>
  </si>
  <si>
    <t>490-GRM21BZ71E106KE15LCT</t>
  </si>
  <si>
    <t>4x parallel: 4x2,78uF=11,1uF effektiv bei 12V DC-Bias; TI min. 10uF erfuellt; 10er Gebinde reicht; Fallback: GRM32ER71E106KA12L 1210</t>
  </si>
  <si>
    <t>Cinx</t>
  </si>
  <si>
    <t>220nF 25V X7R</t>
  </si>
  <si>
    <t>GRM188R71E224KA88D</t>
  </si>
  <si>
    <t>490-3290-2-ND</t>
  </si>
  <si>
    <t>Eingang HF, 10er Gebinde</t>
  </si>
  <si>
    <t>Cout1</t>
  </si>
  <si>
    <t>22µF 10V X7R</t>
  </si>
  <si>
    <t>GRM21BZ71A226ME15L</t>
  </si>
  <si>
    <t>490-GRM21BZ71A226ME15LCT</t>
  </si>
  <si>
    <t>Ausgang Bulk, 10er Gebinde</t>
  </si>
  <si>
    <t>Cout2</t>
  </si>
  <si>
    <t>Gleicher Typ wie Cout1</t>
  </si>
  <si>
    <t>Coutx</t>
  </si>
  <si>
    <t>100nF 16V X7R</t>
  </si>
  <si>
    <t>GCM188R71C104KA37D</t>
  </si>
  <si>
    <t>490-GCM188R71C104KA37DCT</t>
  </si>
  <si>
    <t>Ausgang HF + Cboot, 10er Gebinde</t>
  </si>
  <si>
    <t>Cboot</t>
  </si>
  <si>
    <t>Gleicher Typ wie Coutx</t>
  </si>
  <si>
    <t>Cvcc</t>
  </si>
  <si>
    <t>1µF 25V X7R</t>
  </si>
  <si>
    <t>732-7994-2-ND</t>
  </si>
  <si>
    <t>VCC Bypass, 10er Gebinde</t>
  </si>
  <si>
    <t>Cff</t>
  </si>
  <si>
    <t>nicht bestückt (DNP)</t>
  </si>
  <si>
    <t>–</t>
  </si>
  <si>
    <t>Footprint vorhanden, unbestückt</t>
  </si>
  <si>
    <t>BLOCK 2 – ESP32 BESCHALTUNG</t>
  </si>
  <si>
    <t>U2</t>
  </si>
  <si>
    <t>WiFi/BT Modul</t>
  </si>
  <si>
    <t>ESP32-WROOM-32E-N8</t>
  </si>
  <si>
    <t>SMD 38-Pin</t>
  </si>
  <si>
    <t>Espressif</t>
  </si>
  <si>
    <t>5407-ESP32-WROOM-32E-N8TR-ND</t>
  </si>
  <si>
    <t>4MB Flash, CE-zertifiziert; N8 (8MB Flash) gewählt – N4 Preisdiff. &lt;0,50€</t>
  </si>
  <si>
    <t>C_bulk</t>
  </si>
  <si>
    <t>Elektrolytkondensator</t>
  </si>
  <si>
    <t>100µF 6,3V SMD</t>
  </si>
  <si>
    <t>Ø6,3×5,4mm</t>
  </si>
  <si>
    <t>Panasonic</t>
  </si>
  <si>
    <t>EEEFC0J101P</t>
  </si>
  <si>
    <t xml:space="preserve">667-EEE-FC0J101P </t>
  </si>
  <si>
    <t>Bulk-Puffer ESP32 WiFi-Peaks</t>
  </si>
  <si>
    <t>C_hf</t>
  </si>
  <si>
    <t>HF-Bypass ESP32, gleicher Typ Coutx</t>
  </si>
  <si>
    <t>R_EN</t>
  </si>
  <si>
    <t>10kΩ ±1% 0,1W</t>
  </si>
  <si>
    <t>RC0603FR-0710KL</t>
  </si>
  <si>
    <t>311-10.0KHRTR-ND</t>
  </si>
  <si>
    <t>Pull-up Enable Pin, 10er Gebinde</t>
  </si>
  <si>
    <t>C_EN</t>
  </si>
  <si>
    <t>Entprellung Reset, gleicher Typ</t>
  </si>
  <si>
    <t>S_RST</t>
  </si>
  <si>
    <t>Taster SMD</t>
  </si>
  <si>
    <t>160gf 1,5mm Hub 12V</t>
  </si>
  <si>
    <t>5,2×5,2mm</t>
  </si>
  <si>
    <t>C&amp;K</t>
  </si>
  <si>
    <t>PTS526 SK15 SMTR2 LFS</t>
  </si>
  <si>
    <t>CKN12221-2-ND</t>
  </si>
  <si>
    <t>Reset, nur Entwicklung</t>
  </si>
  <si>
    <t>R_BOOT</t>
  </si>
  <si>
    <t>Pull-up GPIO0, gleicher Typ R_EN</t>
  </si>
  <si>
    <t>R_GPIO2</t>
  </si>
  <si>
    <t>Pull-down GPIO2, gleicher Typ R_EN</t>
  </si>
  <si>
    <t>S_BOOT</t>
  </si>
  <si>
    <t>Boot-Modus, gleicher Typ S_RST</t>
  </si>
  <si>
    <t>J_UART</t>
  </si>
  <si>
    <t>Pin-Header liegend</t>
  </si>
  <si>
    <t>4-Pin 2,54mm 90°</t>
  </si>
  <si>
    <t>THT</t>
  </si>
  <si>
    <t>732-5337-ND</t>
  </si>
  <si>
    <t>UART Programmierschnittstelle, vorhanden</t>
  </si>
  <si>
    <t>R_RXD</t>
  </si>
  <si>
    <t>100Ω ±1% 0,1W</t>
  </si>
  <si>
    <t>RC0603FR-07100RL</t>
  </si>
  <si>
    <t>311-100HRCT-ND</t>
  </si>
  <si>
    <t>Schutzwiderstand RXD0, 10er Gebinde</t>
  </si>
  <si>
    <t>BLOCK 3 – KAPAZITIVE TOUCH-TASTER</t>
  </si>
  <si>
    <t>R_TOUCH1</t>
  </si>
  <si>
    <t>1kΩ ±1% 0,1W</t>
  </si>
  <si>
    <t>RC0603FR-071KL</t>
  </si>
  <si>
    <t>311-1.00KHRTR-ND</t>
  </si>
  <si>
    <t>ESD-Schutz Touch EG, 10er Gebinde</t>
  </si>
  <si>
    <t>R_TOUCH2</t>
  </si>
  <si>
    <t>311-1KHRCT-ND</t>
  </si>
  <si>
    <t>ESD-Schutz Touch OG, gleicher Typ</t>
  </si>
  <si>
    <t>J_TOUCH1</t>
  </si>
  <si>
    <t>Lotpad</t>
  </si>
  <si>
    <t>Kein Stecker – Lotpad auf Platine genügt (1-polig)</t>
  </si>
  <si>
    <t>J_TOUCH2</t>
  </si>
  <si>
    <t>BLOCK 4 – SD-KARTE + CLASS-D + LAUTSPRECHER</t>
  </si>
  <si>
    <t>J_SD</t>
  </si>
  <si>
    <t>MicroSD Halter</t>
  </si>
  <si>
    <t>Push-Push SMD</t>
  </si>
  <si>
    <t>SMD</t>
  </si>
  <si>
    <t>Molex</t>
  </si>
  <si>
    <t>475710001</t>
  </si>
  <si>
    <t>WM9731TR-ND</t>
  </si>
  <si>
    <t>Molex MicroSD Push-Push SMD; Hersteller-Nr. 475710001; DK-Nr. verifiziert</t>
  </si>
  <si>
    <t>R_SD1</t>
  </si>
  <si>
    <t>entfallt</t>
  </si>
  <si>
    <t>Nicht im Schaltplan – SPI-Leitungen kurz genug, Serienwiderstande nicht erforderlich</t>
  </si>
  <si>
    <t>R_SD2</t>
  </si>
  <si>
    <t>R_SD3</t>
  </si>
  <si>
    <t>R_SD4</t>
  </si>
  <si>
    <t>C_SD</t>
  </si>
  <si>
    <t>VDD Bypass SD, gleicher Typ Cboot</t>
  </si>
  <si>
    <t>U3</t>
  </si>
  <si>
    <t>Class-D Verstärker</t>
  </si>
  <si>
    <t>MAX98357AETE+T</t>
  </si>
  <si>
    <t>TSSOP-16</t>
  </si>
  <si>
    <t>Analog Devices</t>
  </si>
  <si>
    <t>MAX98357AETE+TCT-ND</t>
  </si>
  <si>
    <t>I2S, 3,2W@4Ohm, filterfrei</t>
  </si>
  <si>
    <t>C_AMP1</t>
  </si>
  <si>
    <t>VDD Bulk AMP 10µF, gleicher Typ Cout_INN (laut MAX98357A DB)</t>
  </si>
  <si>
    <t>C_AMP2</t>
  </si>
  <si>
    <t>VDD HF AMP, gleicher Typ Cboot</t>
  </si>
  <si>
    <t>Lautsprecher1</t>
  </si>
  <si>
    <t>Lautsprecher</t>
  </si>
  <si>
    <t>36mm 8Ohm 1W WP</t>
  </si>
  <si>
    <t>36mm rund</t>
  </si>
  <si>
    <t>Visaton</t>
  </si>
  <si>
    <t>K 36 WP</t>
  </si>
  <si>
    <t>2056-K36WP-8OHM-ND</t>
  </si>
  <si>
    <t>Weatherproof, Außeneinheit</t>
  </si>
  <si>
    <t>J_SPK</t>
  </si>
  <si>
    <t>WAGO Steckklemme</t>
  </si>
  <si>
    <t>2-polig 1,5mm² 3,5mm</t>
  </si>
  <si>
    <t>WAGO</t>
  </si>
  <si>
    <t>2086-1202</t>
  </si>
  <si>
    <t>Lautsprecher Anschluss, gleicher Typ J_DOOR</t>
  </si>
  <si>
    <t>BLOCK 5 – TÜRÖFFNER</t>
  </si>
  <si>
    <t>Q2</t>
  </si>
  <si>
    <t>N-Kanal MOSFET</t>
  </si>
  <si>
    <t>30V 5A Logic-Level</t>
  </si>
  <si>
    <t>Infineon</t>
  </si>
  <si>
    <t>IRLML6344TRPBF</t>
  </si>
  <si>
    <t xml:space="preserve">942-IRLML6344TRPBF </t>
  </si>
  <si>
    <t>Türöffner Treiber, DNP</t>
  </si>
  <si>
    <t>D_FLY1</t>
  </si>
  <si>
    <t>Schaltdiode</t>
  </si>
  <si>
    <t>100V 300mA</t>
  </si>
  <si>
    <t>SOD-123W</t>
  </si>
  <si>
    <t>1N4148W-E3-18</t>
  </si>
  <si>
    <t>1N4148W-E3-18TR-ND</t>
  </si>
  <si>
    <t>Freilaufdiode Turofner, SOD-123W; Footprint prufen gegen Schaltplan-Symbol</t>
  </si>
  <si>
    <t>R_GATE1</t>
  </si>
  <si>
    <t>Gate-Vorwiderstand Q2, 10er Gebinde; gleicher Typ R_RXD</t>
  </si>
  <si>
    <t>R_GATE_PD1</t>
  </si>
  <si>
    <t>Gate Pull-down Q2, gleicher Typ Rfbt; 10er Gebinde</t>
  </si>
  <si>
    <t>J_DOOR</t>
  </si>
  <si>
    <t>Push-in Klemme Türöffner, DNP, vorhanden</t>
  </si>
  <si>
    <t>BLOCK 6 – STECKVERBINDER / KLEMMEN</t>
  </si>
  <si>
    <t>J_PWR</t>
  </si>
  <si>
    <t>12V Eingang, gleicher Typ J_DOOR</t>
  </si>
  <si>
    <t>BLOCK 7 – STROMVERSORGUNG INNENEINHEIT (USB-C 5V → 3,3V)</t>
  </si>
  <si>
    <t>R_CC1_INN</t>
  </si>
  <si>
    <t>5,1kΩ ±1% 0,1W</t>
  </si>
  <si>
    <t>RC0603FR-075K1L</t>
  </si>
  <si>
    <t>YAG2320CT-ND</t>
  </si>
  <si>
    <t>USB-C CC1 Pull-down 5,1kΩ gegen GND; 2× Inneneinheit; identisch R_CC2_INN; RC0603FR-075K1L verifiziert</t>
  </si>
  <si>
    <t>R_CC2_INN</t>
  </si>
  <si>
    <t>USB-C CC2 Pull-down 5,1kΩ gegen GND; 2× Inneneinheit; identisch R_CC1_INN; RC0603FR-075K1L verifiziert</t>
  </si>
  <si>
    <t>U_INN</t>
  </si>
  <si>
    <t>TLV62568DBVR</t>
  </si>
  <si>
    <t>SOT23-5</t>
  </si>
  <si>
    <t>296-47359-1-ND</t>
  </si>
  <si>
    <t>TLV62568DBVR 5V→3,3V 1A SOT23-5; DK-Nr. 296-47359-1-ND verifiziert</t>
  </si>
  <si>
    <t>Cin_INN</t>
  </si>
  <si>
    <t>4,7µF 10V X7R</t>
  </si>
  <si>
    <t>GRM188Z71A475KE15D</t>
  </si>
  <si>
    <t>490-GRM188Z71A475KE15DCT</t>
  </si>
  <si>
    <t>Eingang, 10er Gebinde</t>
  </si>
  <si>
    <t>Cout_INN</t>
  </si>
  <si>
    <t>Ausgang; gleicher Typ wie Cin Außeneinheit, Gebinde erhöhen</t>
  </si>
  <si>
    <t>L1_INN</t>
  </si>
  <si>
    <t>2,2µH 45mΩ 2,8A Isat</t>
  </si>
  <si>
    <t>4,0×4,0×1,8mm</t>
  </si>
  <si>
    <t>Cyntec</t>
  </si>
  <si>
    <t>SDER041H-2R2MS</t>
  </si>
  <si>
    <t>2037-SDER041H-2R2MSCT-ND</t>
  </si>
  <si>
    <t>Cyntec SDER041H-2R2MS 2,2µH 3,1A; DK-Nr. 2037-SDER041H-2R2MSCT-ND verifiziert; Footprint 4,0x4,0x1,8mm</t>
  </si>
  <si>
    <t>R1_INN</t>
  </si>
  <si>
    <t>470kΩ ±1% 0,1W</t>
  </si>
  <si>
    <t>RC0603FR-07470KL</t>
  </si>
  <si>
    <t>311-470KHRCT-ND</t>
  </si>
  <si>
    <t>Spannungsteiler oben TLV62568; VOUT=3,42V; 10er Gebinde</t>
  </si>
  <si>
    <t>R2_INN</t>
  </si>
  <si>
    <t>Spannungsteiler unten TLV62568; gleicher Typ Rfbt/R1_INN, Gebinde reicht</t>
  </si>
  <si>
    <t>BLOCK 8 – ESP32 BESCHALTUNG INNENEINHEIT (2× identisch)</t>
  </si>
  <si>
    <t>U2_INN</t>
  </si>
  <si>
    <t>2× Inneneinheit; N8 (8MB Flash) gewählt – N4 Preisdiff. &lt;0,50€</t>
  </si>
  <si>
    <t>C_bulk_INN</t>
  </si>
  <si>
    <t>667-EEE-FC0J101P</t>
  </si>
  <si>
    <t>Bulk-Puffer ESP32 WiFi-Peaks; 2× Inneneinheit</t>
  </si>
  <si>
    <t>S_RST_INN</t>
  </si>
  <si>
    <t>Reset; 2× Inneneinheit</t>
  </si>
  <si>
    <t>S_BOOT_INN</t>
  </si>
  <si>
    <t>Boot-Modus; gleicher Typ S_RST; 2× Inneneinheit</t>
  </si>
  <si>
    <t>J_UART_INN</t>
  </si>
  <si>
    <t>61300411021</t>
  </si>
  <si>
    <t>UART Programmierschnittstelle; gleicher Typ J_UART Außeneinheit; ✓ BESCHAFFT – vorhanden</t>
  </si>
  <si>
    <t>R_EN_INN</t>
  </si>
  <si>
    <t>311-10KHRCT-ND</t>
  </si>
  <si>
    <t>Pull-up Enable; gleicher Typ R_EN, Gebinde reicht</t>
  </si>
  <si>
    <t>R_BOOT_INN</t>
  </si>
  <si>
    <t>Pull-up GPIO0; gleicher Typ, Gebinde reicht</t>
  </si>
  <si>
    <t>R_GPIO2_INN</t>
  </si>
  <si>
    <t>Pull-down GPIO2; gleicher Typ, Gebinde reicht</t>
  </si>
  <si>
    <t>R_RXD_INN</t>
  </si>
  <si>
    <t>Schutzwiderstand RXD0; gleicher Typ R_RXD, Gebinde reicht</t>
  </si>
  <si>
    <t>C_hf_INN</t>
  </si>
  <si>
    <t>HF-Bypass ESP32; gleicher Typ Coutx, Gebinde reicht</t>
  </si>
  <si>
    <t>C_EN_INN</t>
  </si>
  <si>
    <t>Entprellung Reset; gleicher Typ, Gebinde reicht</t>
  </si>
  <si>
    <t>BLOCK 9 – KAPAZITIVER TOUCH-TASTER INNENEINHEIT (2× identisch)</t>
  </si>
  <si>
    <t>R_TOUCH_INN</t>
  </si>
  <si>
    <t>ESD-Schutz Touch; gleicher Typ R_TOUCH1, Gebinde reicht</t>
  </si>
  <si>
    <t>J_TOUCH_INN</t>
  </si>
  <si>
    <t>Kein Stecker – Lotpad auf Platine (1-polig, 2x Inneneinheit)</t>
  </si>
  <si>
    <t>BLOCK 10 – SD-KARTE + CLASS-D + LAUTSPRECHER INNENEINHEIT (2× identisch)</t>
  </si>
  <si>
    <t>J_SD_INN</t>
  </si>
  <si>
    <t>Molex MicroSD Push-Push SMD; Hersteller-Nr. 475710001; DK-Nr. verifiziert; 2x Inneneinheit</t>
  </si>
  <si>
    <t>U3_INN</t>
  </si>
  <si>
    <t>2× Inneneinheit; gleicher Typ U3</t>
  </si>
  <si>
    <t>Lautsprecher1_INN</t>
  </si>
  <si>
    <t>51x51mm 8Ohm 2W quadr. Korb</t>
  </si>
  <si>
    <t>51x51mm quadratisch</t>
  </si>
  <si>
    <t>K 50 SQ</t>
  </si>
  <si>
    <t>2056-K50SQ-8OHM-ND</t>
  </si>
  <si>
    <t>Visaton K 50 SQ Art. 2897; 8Ohm 2W; Schallwandoeffnung 45mm; Korb 51x51mm; Montageloecher M4 auf 40x40mm Raster; Anschluss 2,8x0,5mm Flachstecker -&gt; Draht angeloetet; 2x Inneneinheit; DK-Nr. 2056-K50SQ-8OHM-ND verifiziert</t>
  </si>
  <si>
    <t>J_SPK_INN</t>
  </si>
  <si>
    <t>Lautsprecher Anschluss; gleicher Typ J_TOUCH; 2× Inneneinheit</t>
  </si>
  <si>
    <t>Montagebolzen_INN</t>
  </si>
  <si>
    <t>Abstandsbolzen M4</t>
  </si>
  <si>
    <t>M4, Laenge TBD, Metall</t>
  </si>
  <si>
    <t>Firma (vorhanden)</t>
  </si>
  <si>
    <t>-</t>
  </si>
  <si>
    <t>vorhanden</t>
  </si>
  <si>
    <t>Lautsprecher K 50 SQ auf PCB; Montageraster 40x40mm; 4x pro Inneneinheit = 8 gesamt; Laenge abhaengig von Gehaeuse (TBD); F10 offen</t>
  </si>
  <si>
    <t>R_SD1_INN</t>
  </si>
  <si>
    <t>Nicht im Schaltplan – SPI-Widerstande entfallen</t>
  </si>
  <si>
    <t>R_SDMODE_INN</t>
  </si>
  <si>
    <t>Nicht im Schaltplan – SD_MODE direkt an +3V3</t>
  </si>
  <si>
    <t>C_SD_INN</t>
  </si>
  <si>
    <t>VDD Bypass SD; gleicher Typ Coutx, Gebinde reicht</t>
  </si>
  <si>
    <t>C_AMP1_INN</t>
  </si>
  <si>
    <t>C_AMP2_INN</t>
  </si>
  <si>
    <t>VDD HF AMP; gleicher Typ Coutx, Gebinde reicht</t>
  </si>
  <si>
    <t>GESAMTKOSTEN AUSSENEINHEIT</t>
  </si>
  <si>
    <t>GESAMTKOSTEN INNENEINHEIT (2× Stk., inkl. Lot-Reserve)</t>
  </si>
  <si>
    <t>GESAMTKOSTEN PROJEKT</t>
  </si>
  <si>
    <t>Quantity</t>
  </si>
  <si>
    <t>Digi-Key Part Number</t>
  </si>
  <si>
    <t>Customer Reference</t>
  </si>
  <si>
    <t>L1 – 1,8µH 26mΩ 6,05A</t>
  </si>
  <si>
    <t>Q1 – 20V 4,2A 40mΩ</t>
  </si>
  <si>
    <t>DZ1 – 7,5V 250mW</t>
  </si>
  <si>
    <t>D1 – 15V unidirektional</t>
  </si>
  <si>
    <t>Rfbt – 100kΩ ±1% 0,1W</t>
  </si>
  <si>
    <t>Rfbb – 43,2kΩ ±1% 0,1W</t>
  </si>
  <si>
    <t>Cinx – 220nF 25V X7R</t>
  </si>
  <si>
    <t>Cout1 – 22µF 10V X7R</t>
  </si>
  <si>
    <t>Coutx – 100nF 16V X7R</t>
  </si>
  <si>
    <t>Cvcc – 1µF 25V X7R</t>
  </si>
  <si>
    <t>R_EN – 10kΩ ±1% 0,1W</t>
  </si>
  <si>
    <t>R_RXD – 100Ω ±1% 0,1W</t>
  </si>
  <si>
    <t>R_TOUCH1 – 1kΩ ±1% 0,1W</t>
  </si>
  <si>
    <t>J_SD – Push-Push SMD</t>
  </si>
  <si>
    <t>Lautsprecher1 – 36mm 8Ohm 1W WP</t>
  </si>
  <si>
    <t>D_FLY1 – 100V 300mA</t>
  </si>
  <si>
    <t>R_CC1_INN – 5,1kΩ ±1% 0,1W</t>
  </si>
  <si>
    <t>U_INN – TLV62568DBVR</t>
  </si>
  <si>
    <t>Cin_INN – 4,7µF 10V X7R</t>
  </si>
  <si>
    <t>L1_INN – 2,2µH 45mΩ 2,8A Isat</t>
  </si>
  <si>
    <t>R1_INN – 470kΩ ±1% 0,1W</t>
  </si>
  <si>
    <t>J_SD_INN – Push-Push SMD</t>
  </si>
  <si>
    <t>Lautsprecher1_INN – 51x51mm 8Ohm 2W quadr. Korb</t>
  </si>
  <si>
    <t>Mouser Part Number</t>
  </si>
  <si>
    <t>595-LMR33630CDDAR</t>
  </si>
  <si>
    <t>U1 – LMR33630CDDAR</t>
  </si>
  <si>
    <t>C_bulk – 100µF 6,3V SMD</t>
  </si>
  <si>
    <t>942-IRLML6344TRPBF</t>
  </si>
  <si>
    <t>Q2 – 30V 5A Logic-Level</t>
  </si>
  <si>
    <t>C_bulk_INN – 100µF 6,3V SMD</t>
  </si>
  <si>
    <t>490-GCM188R71C104KA37D</t>
  </si>
  <si>
    <t>490-4774-2-ND</t>
  </si>
  <si>
    <t>311-5.10KHRTR-ND</t>
  </si>
  <si>
    <t>YAG3609TR-ND</t>
  </si>
  <si>
    <t>Cin – 10µF 25V X7R, Cout_INN – 10µF 25V X7R</t>
  </si>
  <si>
    <t>U2 – ESP32-WROOM-32E-N8, U2_INN – ESP32-WROOM-32E-N8</t>
  </si>
  <si>
    <t>S_RST – 160gf 1,5mm Hub 12V, S_RST_INN – 160gf 1,5mm Hub 12V, S_BOOT_INN – 160gf 1,5mm Hub 12V</t>
  </si>
  <si>
    <t>U3 – MAX98357AETE+T, U3_INN – MAX98357AETE+T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</si>
</sst>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\ &quot;€&quot;"/>
  </numFmts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i/>
      <sz val="10"/>
      <color rgb="FF999999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Calibri"/>
    </font>
    <font>
      <b/>
      <i/>
      <sz val="11"/>
      <color rgb="FF999999"/>
      <name val="Arial"/>
    </font>
    <font>
      <b/>
      <sz val="13"/>
      <color rgb="FFFFFFFF"/>
      <name val="Arial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1F3864"/>
        <bgColor rgb="FF1F3864"/>
      </patternFill>
    </fill>
    <fill>
      <patternFill patternType="solid">
        <fgColor rgb="FF2E4A7A"/>
        <bgColor rgb="FF2E4A7A"/>
      </patternFill>
    </fill>
    <fill>
      <patternFill patternType="solid">
        <fgColor rgb="FFEBF0F8"/>
        <bgColor rgb="FFEBF0F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F1E3D"/>
        <bgColor rgb="FF0F1E3D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29">
    <xf numFmtId="0" fontId="0" fillId="0" borderId="0" xfId="0" applyFill="1"/>
    <xf numFmtId="0" fontId="1" fillId="2" borderId="0" xfId="0" applyFont="1"/>
    <xf numFmtId="0" fontId="2" fillId="2" borderId="0" xfId="0" applyFont="1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/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right" vertical="center"/>
    </xf>
    <xf numFmtId="44" fontId="5" fillId="5" borderId="0" xfId="0" applyNumberFormat="1" applyFont="1" applyFill="1" applyAlignment="1">
      <alignment horizontal="right" vertical="center"/>
    </xf>
    <xf numFmtId="1" fontId="5" fillId="5" borderId="0" xfId="0" applyNumberFormat="1" applyFont="1" applyFill="1" applyAlignment="1">
      <alignment horizontal="left" vertical="center"/>
    </xf>
    <xf numFmtId="44" fontId="10" fillId="7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/>
    </xf>
    <xf numFmtId="44" fontId="3" fillId="3" borderId="0" xfId="0" applyNumberFormat="1" applyFont="1" applyFill="1" applyAlignment="1">
      <alignment horizontal="right" vertical="center"/>
    </xf>
    <xf numFmtId="0" fontId="11" fillId="8" borderId="0" xfId="0" applyFont="1" applyFill="1" applyAlignment="1">
      <alignment horizontal="left" vertical="center" indent="1"/>
    </xf>
    <xf numFmtId="0" fontId="11" fillId="8" borderId="0" xfId="0" applyFont="1" applyFill="1" applyAlignment="1">
      <alignment horizontal="left" vertical="center"/>
    </xf>
    <xf numFmtId="44" fontId="11" fillId="8" borderId="0" xfId="0" applyNumberFormat="1" applyFont="1" applyFill="1" applyAlignment="1">
      <alignment horizontal="right" vertical="center"/>
    </xf>
    <xf numFmtId="0" fontId="0" fillId="9" borderId="0" xfId="0" applyFill="1"/>
    <xf numFmtId="0" fontId="0" fillId="9" borderId="0" xfId="0" applyFill="1" applyAlignment="1">
      <alignment horizontal="left" vertical="center"/>
    </xf>
    <xf numFmtId="0" fontId="0" fillId="0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zoomScaleNormal="100" workbookViewId="0">
      <pane ySplit="4" topLeftCell="A85" activePane="bottomLeft" state="frozen"/>
      <selection pane="bottomLeft" activeCell="F102" sqref="F102"/>
    </sheetView>
  </sheetViews>
  <sheetFormatPr baseColWidth="10" defaultColWidth="9.140625" defaultRowHeight="15" x14ac:dyDescent="0.25"/>
  <cols>
    <col min="1" max="1" width="17.28515625" customWidth="1"/>
    <col min="2" max="3" width="22" customWidth="1"/>
    <col min="4" max="4" width="12" customWidth="1"/>
    <col min="5" max="5" width="18" customWidth="1"/>
    <col min="6" max="6" width="24.42578125" bestFit="1" customWidth="1"/>
    <col min="7" max="7" width="10" customWidth="1"/>
    <col min="8" max="8" width="30" customWidth="1"/>
    <col min="9" max="9" width="8" customWidth="1"/>
    <col min="10" max="10" width="14" customWidth="1"/>
    <col min="11" max="11" width="12" customWidth="1"/>
    <col min="12" max="12" width="40" customWidth="1"/>
  </cols>
  <sheetData>
    <row r="1" spans="1:12" ht="21.95" customHeight="1" x14ac:dyDescent="0.25">
      <c r="A1" s="1" t="s">
        <v>0</v>
      </c>
    </row>
    <row r="2" spans="1:12" ht="15.95" customHeight="1" x14ac:dyDescent="0.25">
      <c r="A2" s="2" t="s">
        <v>1</v>
      </c>
    </row>
    <row r="4" spans="1:12" ht="21.95" customHeight="1" x14ac:dyDescent="0.2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3" t="s">
        <v>13</v>
      </c>
    </row>
    <row r="5" spans="1:12" ht="20.100000000000001" customHeight="1" x14ac:dyDescent="0.25">
      <c r="A5" s="13" t="s">
        <v>14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4"/>
    </row>
    <row r="6" spans="1:12" ht="18" customHeight="1" x14ac:dyDescent="0.25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17</v>
      </c>
      <c r="G6" s="5" t="s">
        <v>20</v>
      </c>
      <c r="H6" s="5" t="s">
        <v>21</v>
      </c>
      <c r="I6" s="14">
        <v>1</v>
      </c>
      <c r="J6" s="15">
        <v>2.19</v>
      </c>
      <c r="K6" s="16">
        <f t="shared" ref="K6:K21" si="0">I6*J6</f>
        <v>2.19</v>
      </c>
      <c r="L6" s="5" t="s">
        <v>22</v>
      </c>
    </row>
    <row r="7" spans="1:12" ht="18" customHeight="1" x14ac:dyDescent="0.25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14">
        <v>1</v>
      </c>
      <c r="J7" s="15">
        <v>1.78</v>
      </c>
      <c r="K7" s="16">
        <f t="shared" si="0"/>
        <v>1.78</v>
      </c>
      <c r="L7" s="6" t="s">
        <v>31</v>
      </c>
    </row>
    <row r="8" spans="1:12" ht="18" customHeight="1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29</v>
      </c>
      <c r="H8" s="5" t="s">
        <v>38</v>
      </c>
      <c r="I8" s="14">
        <v>1</v>
      </c>
      <c r="J8" s="15">
        <v>0.28399999999999997</v>
      </c>
      <c r="K8" s="16">
        <f t="shared" si="0"/>
        <v>0.28399999999999997</v>
      </c>
      <c r="L8" s="5" t="s">
        <v>39</v>
      </c>
    </row>
    <row r="9" spans="1:12" ht="18" customHeight="1" x14ac:dyDescent="0.25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29</v>
      </c>
      <c r="H9" s="5" t="s">
        <v>46</v>
      </c>
      <c r="I9" s="14">
        <v>1</v>
      </c>
      <c r="J9" s="15">
        <v>0.11</v>
      </c>
      <c r="K9" s="16">
        <f t="shared" si="0"/>
        <v>0.11</v>
      </c>
      <c r="L9" s="5" t="s">
        <v>47</v>
      </c>
    </row>
    <row r="10" spans="1:12" ht="18" customHeight="1" x14ac:dyDescent="0.25">
      <c r="A10" s="5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29</v>
      </c>
      <c r="H10" s="5" t="s">
        <v>54</v>
      </c>
      <c r="I10" s="14">
        <v>1</v>
      </c>
      <c r="J10" s="15">
        <v>0.44</v>
      </c>
      <c r="K10" s="16">
        <f t="shared" si="0"/>
        <v>0.44</v>
      </c>
      <c r="L10" s="6" t="s">
        <v>55</v>
      </c>
    </row>
    <row r="11" spans="1:12" ht="18" customHeight="1" x14ac:dyDescent="0.25">
      <c r="A11" s="5" t="s">
        <v>56</v>
      </c>
      <c r="B11" s="5" t="s">
        <v>57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29</v>
      </c>
      <c r="H11" s="5" t="s">
        <v>62</v>
      </c>
      <c r="I11" s="14">
        <v>10</v>
      </c>
      <c r="J11" s="15">
        <v>0.02</v>
      </c>
      <c r="K11" s="16">
        <f t="shared" si="0"/>
        <v>0.2</v>
      </c>
      <c r="L11" s="5" t="s">
        <v>63</v>
      </c>
    </row>
    <row r="12" spans="1:12" ht="18" customHeight="1" x14ac:dyDescent="0.25">
      <c r="A12" s="5" t="s">
        <v>64</v>
      </c>
      <c r="B12" s="5" t="s">
        <v>57</v>
      </c>
      <c r="C12" s="5" t="s">
        <v>65</v>
      </c>
      <c r="D12" s="5" t="s">
        <v>59</v>
      </c>
      <c r="E12" s="5" t="s">
        <v>60</v>
      </c>
      <c r="F12" s="5" t="s">
        <v>66</v>
      </c>
      <c r="G12" s="5" t="s">
        <v>29</v>
      </c>
      <c r="H12" s="5" t="s">
        <v>67</v>
      </c>
      <c r="I12" s="14">
        <v>10</v>
      </c>
      <c r="J12" s="15">
        <v>0.02</v>
      </c>
      <c r="K12" s="16">
        <f t="shared" si="0"/>
        <v>0.2</v>
      </c>
      <c r="L12" s="6" t="s">
        <v>68</v>
      </c>
    </row>
    <row r="13" spans="1:12" ht="18" customHeight="1" x14ac:dyDescent="0.25">
      <c r="A13" s="5" t="s">
        <v>69</v>
      </c>
      <c r="B13" s="5" t="s">
        <v>57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29</v>
      </c>
      <c r="H13" s="5" t="s">
        <v>62</v>
      </c>
      <c r="I13" s="14">
        <v>0</v>
      </c>
      <c r="J13" s="15">
        <v>0.02</v>
      </c>
      <c r="K13" s="16">
        <f t="shared" si="0"/>
        <v>0</v>
      </c>
      <c r="L13" s="7" t="s">
        <v>70</v>
      </c>
    </row>
    <row r="14" spans="1:12" ht="18" customHeight="1" x14ac:dyDescent="0.25">
      <c r="A14" s="5" t="s">
        <v>71</v>
      </c>
      <c r="B14" s="5" t="s">
        <v>72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29</v>
      </c>
      <c r="H14" s="5" t="s">
        <v>77</v>
      </c>
      <c r="I14" s="14">
        <v>10</v>
      </c>
      <c r="J14" s="15">
        <v>0.161</v>
      </c>
      <c r="K14" s="16">
        <f t="shared" si="0"/>
        <v>1.61</v>
      </c>
      <c r="L14" s="6" t="s">
        <v>78</v>
      </c>
    </row>
    <row r="15" spans="1:12" ht="18" customHeight="1" x14ac:dyDescent="0.25">
      <c r="A15" s="5" t="s">
        <v>79</v>
      </c>
      <c r="B15" s="5" t="s">
        <v>72</v>
      </c>
      <c r="C15" s="5" t="s">
        <v>80</v>
      </c>
      <c r="D15" s="5" t="s">
        <v>59</v>
      </c>
      <c r="E15" s="5" t="s">
        <v>75</v>
      </c>
      <c r="F15" s="5" t="s">
        <v>81</v>
      </c>
      <c r="G15" s="5" t="s">
        <v>29</v>
      </c>
      <c r="H15" s="5" t="s">
        <v>82</v>
      </c>
      <c r="I15" s="14">
        <v>10</v>
      </c>
      <c r="J15" s="15">
        <v>4.1000000000000002E-2</v>
      </c>
      <c r="K15" s="16">
        <f t="shared" si="0"/>
        <v>0.41000000000000003</v>
      </c>
      <c r="L15" s="5" t="s">
        <v>83</v>
      </c>
    </row>
    <row r="16" spans="1:12" ht="18" customHeight="1" x14ac:dyDescent="0.25">
      <c r="A16" s="5" t="s">
        <v>84</v>
      </c>
      <c r="B16" s="5" t="s">
        <v>72</v>
      </c>
      <c r="C16" s="5" t="s">
        <v>85</v>
      </c>
      <c r="D16" s="5" t="s">
        <v>74</v>
      </c>
      <c r="E16" s="5" t="s">
        <v>75</v>
      </c>
      <c r="F16" s="5" t="s">
        <v>86</v>
      </c>
      <c r="G16" s="5" t="s">
        <v>29</v>
      </c>
      <c r="H16" s="5" t="s">
        <v>87</v>
      </c>
      <c r="I16" s="14">
        <v>10</v>
      </c>
      <c r="J16" s="15">
        <v>0.16600000000000001</v>
      </c>
      <c r="K16" s="16">
        <f t="shared" si="0"/>
        <v>1.6600000000000001</v>
      </c>
      <c r="L16" s="6" t="s">
        <v>88</v>
      </c>
    </row>
    <row r="17" spans="1:12" ht="18" customHeight="1" x14ac:dyDescent="0.25">
      <c r="A17" s="5" t="s">
        <v>89</v>
      </c>
      <c r="B17" s="5" t="s">
        <v>72</v>
      </c>
      <c r="C17" s="5" t="s">
        <v>85</v>
      </c>
      <c r="D17" s="5" t="s">
        <v>74</v>
      </c>
      <c r="E17" s="5" t="s">
        <v>75</v>
      </c>
      <c r="F17" s="5" t="s">
        <v>86</v>
      </c>
      <c r="G17" s="5" t="s">
        <v>29</v>
      </c>
      <c r="H17" s="5" t="s">
        <v>87</v>
      </c>
      <c r="I17" s="14">
        <v>0</v>
      </c>
      <c r="J17" s="15">
        <v>0.16600000000000001</v>
      </c>
      <c r="K17" s="16">
        <f t="shared" si="0"/>
        <v>0</v>
      </c>
      <c r="L17" s="7" t="s">
        <v>90</v>
      </c>
    </row>
    <row r="18" spans="1:12" ht="18" customHeight="1" x14ac:dyDescent="0.25">
      <c r="A18" s="5" t="s">
        <v>91</v>
      </c>
      <c r="B18" s="5" t="s">
        <v>72</v>
      </c>
      <c r="C18" s="5" t="s">
        <v>92</v>
      </c>
      <c r="D18" s="5" t="s">
        <v>59</v>
      </c>
      <c r="E18" s="5" t="s">
        <v>75</v>
      </c>
      <c r="F18" s="5" t="s">
        <v>93</v>
      </c>
      <c r="G18" s="5" t="s">
        <v>29</v>
      </c>
      <c r="H18" s="5" t="s">
        <v>94</v>
      </c>
      <c r="I18" s="14">
        <v>10</v>
      </c>
      <c r="J18" s="15">
        <v>0.02</v>
      </c>
      <c r="K18" s="16">
        <f t="shared" si="0"/>
        <v>0.2</v>
      </c>
      <c r="L18" s="6" t="s">
        <v>95</v>
      </c>
    </row>
    <row r="19" spans="1:12" ht="18" customHeight="1" x14ac:dyDescent="0.25">
      <c r="A19" s="5" t="s">
        <v>96</v>
      </c>
      <c r="B19" s="5" t="s">
        <v>72</v>
      </c>
      <c r="C19" s="5" t="s">
        <v>92</v>
      </c>
      <c r="D19" s="5" t="s">
        <v>59</v>
      </c>
      <c r="E19" s="5" t="s">
        <v>75</v>
      </c>
      <c r="F19" s="5" t="s">
        <v>93</v>
      </c>
      <c r="G19" s="5" t="s">
        <v>29</v>
      </c>
      <c r="H19" s="5" t="s">
        <v>94</v>
      </c>
      <c r="I19" s="14">
        <v>0</v>
      </c>
      <c r="J19" s="15">
        <v>0.02</v>
      </c>
      <c r="K19" s="16">
        <f t="shared" si="0"/>
        <v>0</v>
      </c>
      <c r="L19" s="7" t="s">
        <v>97</v>
      </c>
    </row>
    <row r="20" spans="1:12" ht="18" customHeight="1" x14ac:dyDescent="0.25">
      <c r="A20" s="5" t="s">
        <v>98</v>
      </c>
      <c r="B20" s="5" t="s">
        <v>72</v>
      </c>
      <c r="C20" s="5" t="s">
        <v>99</v>
      </c>
      <c r="D20" s="5" t="s">
        <v>59</v>
      </c>
      <c r="E20" s="5" t="s">
        <v>27</v>
      </c>
      <c r="F20" s="17">
        <v>885012206076</v>
      </c>
      <c r="G20" s="5" t="s">
        <v>29</v>
      </c>
      <c r="H20" s="5" t="s">
        <v>100</v>
      </c>
      <c r="I20" s="14">
        <v>10</v>
      </c>
      <c r="J20" s="15">
        <v>0.05</v>
      </c>
      <c r="K20" s="16">
        <f t="shared" si="0"/>
        <v>0.5</v>
      </c>
      <c r="L20" s="6" t="s">
        <v>101</v>
      </c>
    </row>
    <row r="21" spans="1:12" ht="15.95" customHeight="1" x14ac:dyDescent="0.25">
      <c r="A21" s="5" t="s">
        <v>102</v>
      </c>
      <c r="B21" s="5" t="s">
        <v>103</v>
      </c>
      <c r="C21" s="5" t="s">
        <v>104</v>
      </c>
      <c r="D21" s="5" t="s">
        <v>59</v>
      </c>
      <c r="E21" s="5" t="s">
        <v>104</v>
      </c>
      <c r="F21" s="5" t="s">
        <v>104</v>
      </c>
      <c r="G21" s="5" t="s">
        <v>104</v>
      </c>
      <c r="H21" s="5" t="s">
        <v>104</v>
      </c>
      <c r="I21" s="14">
        <v>0</v>
      </c>
      <c r="J21" s="15">
        <v>0</v>
      </c>
      <c r="K21" s="16">
        <f t="shared" si="0"/>
        <v>0</v>
      </c>
      <c r="L21" s="7" t="s">
        <v>105</v>
      </c>
    </row>
    <row r="22" spans="1:12" ht="15.9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18">
        <f>SUM(K6:K21)</f>
        <v>9.5839999999999996</v>
      </c>
      <c r="L22" s="7"/>
    </row>
    <row r="23" spans="1:12" ht="20.100000000000001" customHeight="1" x14ac:dyDescent="0.25">
      <c r="A23" s="13" t="s">
        <v>106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4"/>
    </row>
    <row r="24" spans="1:12" ht="18" customHeight="1" x14ac:dyDescent="0.25">
      <c r="A24" s="5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  <c r="F24" s="5" t="s">
        <v>109</v>
      </c>
      <c r="G24" s="5" t="s">
        <v>29</v>
      </c>
      <c r="H24" s="5" t="s">
        <v>112</v>
      </c>
      <c r="I24" s="14">
        <v>1</v>
      </c>
      <c r="J24" s="15">
        <v>4.6100000000000003</v>
      </c>
      <c r="K24" s="16">
        <f t="shared" ref="K24:K34" si="1">I24*J24</f>
        <v>4.6100000000000003</v>
      </c>
      <c r="L24" s="5" t="s">
        <v>113</v>
      </c>
    </row>
    <row r="25" spans="1:12" ht="18" customHeight="1" x14ac:dyDescent="0.25">
      <c r="A25" s="5" t="s">
        <v>114</v>
      </c>
      <c r="B25" s="5" t="s">
        <v>115</v>
      </c>
      <c r="C25" s="5" t="s">
        <v>116</v>
      </c>
      <c r="D25" s="5" t="s">
        <v>117</v>
      </c>
      <c r="E25" s="5" t="s">
        <v>118</v>
      </c>
      <c r="F25" s="5" t="s">
        <v>119</v>
      </c>
      <c r="G25" s="5" t="s">
        <v>20</v>
      </c>
      <c r="H25" s="5" t="s">
        <v>120</v>
      </c>
      <c r="I25" s="14">
        <v>1</v>
      </c>
      <c r="J25" s="15">
        <v>0.32</v>
      </c>
      <c r="K25" s="16">
        <f t="shared" si="1"/>
        <v>0.32</v>
      </c>
      <c r="L25" s="6" t="s">
        <v>121</v>
      </c>
    </row>
    <row r="26" spans="1:12" ht="18" customHeight="1" x14ac:dyDescent="0.25">
      <c r="A26" s="5" t="s">
        <v>122</v>
      </c>
      <c r="B26" s="5" t="s">
        <v>72</v>
      </c>
      <c r="C26" s="5" t="s">
        <v>92</v>
      </c>
      <c r="D26" s="5" t="s">
        <v>59</v>
      </c>
      <c r="E26" s="5" t="s">
        <v>75</v>
      </c>
      <c r="F26" s="5" t="s">
        <v>93</v>
      </c>
      <c r="G26" s="5" t="s">
        <v>29</v>
      </c>
      <c r="H26" s="5" t="s">
        <v>94</v>
      </c>
      <c r="I26" s="14">
        <v>0</v>
      </c>
      <c r="J26" s="15">
        <v>0.02</v>
      </c>
      <c r="K26" s="16">
        <f t="shared" si="1"/>
        <v>0</v>
      </c>
      <c r="L26" s="7" t="s">
        <v>123</v>
      </c>
    </row>
    <row r="27" spans="1:12" ht="18" customHeight="1" x14ac:dyDescent="0.25">
      <c r="A27" s="5" t="s">
        <v>124</v>
      </c>
      <c r="B27" s="5" t="s">
        <v>57</v>
      </c>
      <c r="C27" s="5" t="s">
        <v>125</v>
      </c>
      <c r="D27" s="5" t="s">
        <v>59</v>
      </c>
      <c r="E27" s="5" t="s">
        <v>60</v>
      </c>
      <c r="F27" s="5" t="s">
        <v>126</v>
      </c>
      <c r="G27" s="5" t="s">
        <v>29</v>
      </c>
      <c r="H27" s="5" t="s">
        <v>127</v>
      </c>
      <c r="I27" s="14">
        <v>10</v>
      </c>
      <c r="J27" s="15">
        <v>0.02</v>
      </c>
      <c r="K27" s="16">
        <f t="shared" si="1"/>
        <v>0.2</v>
      </c>
      <c r="L27" s="6" t="s">
        <v>128</v>
      </c>
    </row>
    <row r="28" spans="1:12" ht="18" customHeight="1" x14ac:dyDescent="0.25">
      <c r="A28" s="5" t="s">
        <v>129</v>
      </c>
      <c r="B28" s="5" t="s">
        <v>72</v>
      </c>
      <c r="C28" s="5" t="s">
        <v>92</v>
      </c>
      <c r="D28" s="5" t="s">
        <v>59</v>
      </c>
      <c r="E28" s="5" t="s">
        <v>75</v>
      </c>
      <c r="F28" s="5" t="s">
        <v>93</v>
      </c>
      <c r="G28" s="5" t="s">
        <v>29</v>
      </c>
      <c r="H28" s="5" t="s">
        <v>94</v>
      </c>
      <c r="I28" s="14">
        <v>0</v>
      </c>
      <c r="J28" s="15">
        <v>0.02</v>
      </c>
      <c r="K28" s="16">
        <f t="shared" si="1"/>
        <v>0</v>
      </c>
      <c r="L28" s="7" t="s">
        <v>130</v>
      </c>
    </row>
    <row r="29" spans="1:12" ht="18" customHeight="1" x14ac:dyDescent="0.25">
      <c r="A29" s="5" t="s">
        <v>131</v>
      </c>
      <c r="B29" s="5" t="s">
        <v>132</v>
      </c>
      <c r="C29" s="5" t="s">
        <v>133</v>
      </c>
      <c r="D29" s="5" t="s">
        <v>134</v>
      </c>
      <c r="E29" s="5" t="s">
        <v>135</v>
      </c>
      <c r="F29" s="5" t="s">
        <v>136</v>
      </c>
      <c r="G29" s="5" t="s">
        <v>29</v>
      </c>
      <c r="H29" s="5" t="s">
        <v>137</v>
      </c>
      <c r="I29" s="14">
        <v>10</v>
      </c>
      <c r="J29" s="15">
        <v>0.122</v>
      </c>
      <c r="K29" s="16">
        <f t="shared" si="1"/>
        <v>1.22</v>
      </c>
      <c r="L29" s="6" t="s">
        <v>138</v>
      </c>
    </row>
    <row r="30" spans="1:12" ht="18" customHeight="1" x14ac:dyDescent="0.25">
      <c r="A30" s="5" t="s">
        <v>139</v>
      </c>
      <c r="B30" s="5" t="s">
        <v>57</v>
      </c>
      <c r="C30" s="5" t="s">
        <v>125</v>
      </c>
      <c r="D30" s="5" t="s">
        <v>59</v>
      </c>
      <c r="E30" s="5" t="s">
        <v>60</v>
      </c>
      <c r="F30" s="5" t="s">
        <v>126</v>
      </c>
      <c r="G30" s="5" t="s">
        <v>29</v>
      </c>
      <c r="H30" s="5" t="s">
        <v>127</v>
      </c>
      <c r="I30" s="14">
        <v>0</v>
      </c>
      <c r="J30" s="15">
        <v>0.02</v>
      </c>
      <c r="K30" s="16">
        <f t="shared" si="1"/>
        <v>0</v>
      </c>
      <c r="L30" s="7" t="s">
        <v>140</v>
      </c>
    </row>
    <row r="31" spans="1:12" ht="18" customHeight="1" x14ac:dyDescent="0.25">
      <c r="A31" s="5" t="s">
        <v>141</v>
      </c>
      <c r="B31" s="5" t="s">
        <v>57</v>
      </c>
      <c r="C31" s="5" t="s">
        <v>125</v>
      </c>
      <c r="D31" s="5" t="s">
        <v>59</v>
      </c>
      <c r="E31" s="5" t="s">
        <v>60</v>
      </c>
      <c r="F31" s="5" t="s">
        <v>126</v>
      </c>
      <c r="G31" s="5" t="s">
        <v>29</v>
      </c>
      <c r="H31" s="5" t="s">
        <v>127</v>
      </c>
      <c r="I31" s="14">
        <v>0</v>
      </c>
      <c r="J31" s="15">
        <v>0.02</v>
      </c>
      <c r="K31" s="16">
        <f t="shared" si="1"/>
        <v>0</v>
      </c>
      <c r="L31" s="7" t="s">
        <v>142</v>
      </c>
    </row>
    <row r="32" spans="1:12" ht="18" customHeight="1" x14ac:dyDescent="0.25">
      <c r="A32" s="5" t="s">
        <v>143</v>
      </c>
      <c r="B32" s="5" t="s">
        <v>132</v>
      </c>
      <c r="C32" s="5" t="s">
        <v>133</v>
      </c>
      <c r="D32" s="5" t="s">
        <v>134</v>
      </c>
      <c r="E32" s="5" t="s">
        <v>135</v>
      </c>
      <c r="F32" s="5" t="s">
        <v>136</v>
      </c>
      <c r="G32" s="5" t="s">
        <v>29</v>
      </c>
      <c r="H32" s="5" t="s">
        <v>137</v>
      </c>
      <c r="I32" s="14">
        <v>0</v>
      </c>
      <c r="J32" s="15">
        <v>0.122</v>
      </c>
      <c r="K32" s="16">
        <f t="shared" si="1"/>
        <v>0</v>
      </c>
      <c r="L32" s="7" t="s">
        <v>144</v>
      </c>
    </row>
    <row r="33" spans="1:12" ht="18" customHeight="1" x14ac:dyDescent="0.25">
      <c r="A33" s="5" t="s">
        <v>145</v>
      </c>
      <c r="B33" s="5" t="s">
        <v>146</v>
      </c>
      <c r="C33" s="5" t="s">
        <v>147</v>
      </c>
      <c r="D33" s="5" t="s">
        <v>148</v>
      </c>
      <c r="E33" s="5" t="s">
        <v>27</v>
      </c>
      <c r="F33" s="5">
        <v>61300411021</v>
      </c>
      <c r="G33" s="5" t="s">
        <v>29</v>
      </c>
      <c r="H33" s="5" t="s">
        <v>149</v>
      </c>
      <c r="I33" s="14">
        <v>1</v>
      </c>
      <c r="J33" s="15">
        <v>0</v>
      </c>
      <c r="K33" s="16">
        <f t="shared" si="1"/>
        <v>0</v>
      </c>
      <c r="L33" s="7" t="s">
        <v>150</v>
      </c>
    </row>
    <row r="34" spans="1:12" ht="15.95" customHeight="1" x14ac:dyDescent="0.25">
      <c r="A34" s="5" t="s">
        <v>151</v>
      </c>
      <c r="B34" s="5" t="s">
        <v>57</v>
      </c>
      <c r="C34" s="5" t="s">
        <v>152</v>
      </c>
      <c r="D34" s="5" t="s">
        <v>59</v>
      </c>
      <c r="E34" s="5" t="s">
        <v>60</v>
      </c>
      <c r="F34" s="5" t="s">
        <v>153</v>
      </c>
      <c r="G34" s="5" t="s">
        <v>29</v>
      </c>
      <c r="H34" s="5" t="s">
        <v>154</v>
      </c>
      <c r="I34" s="14">
        <v>10</v>
      </c>
      <c r="J34" s="15">
        <v>0.02</v>
      </c>
      <c r="K34" s="16">
        <f t="shared" si="1"/>
        <v>0.2</v>
      </c>
      <c r="L34" s="5" t="s">
        <v>155</v>
      </c>
    </row>
    <row r="35" spans="1:12" ht="15.9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18">
        <f>SUM(K24:K34)</f>
        <v>6.5500000000000007</v>
      </c>
      <c r="L35" s="5"/>
    </row>
    <row r="36" spans="1:12" ht="20.100000000000001" customHeight="1" x14ac:dyDescent="0.25">
      <c r="A36" s="13" t="s">
        <v>156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4"/>
    </row>
    <row r="37" spans="1:12" ht="18" customHeight="1" x14ac:dyDescent="0.25">
      <c r="A37" s="5" t="s">
        <v>157</v>
      </c>
      <c r="B37" s="5" t="s">
        <v>57</v>
      </c>
      <c r="C37" s="5" t="s">
        <v>158</v>
      </c>
      <c r="D37" s="5" t="s">
        <v>59</v>
      </c>
      <c r="E37" s="5" t="s">
        <v>60</v>
      </c>
      <c r="F37" s="5" t="s">
        <v>159</v>
      </c>
      <c r="G37" s="5" t="s">
        <v>29</v>
      </c>
      <c r="H37" s="5" t="s">
        <v>160</v>
      </c>
      <c r="I37" s="14">
        <v>10</v>
      </c>
      <c r="J37" s="15">
        <v>0.02</v>
      </c>
      <c r="K37" s="16">
        <f>I37*J37</f>
        <v>0.2</v>
      </c>
      <c r="L37" s="5" t="s">
        <v>161</v>
      </c>
    </row>
    <row r="38" spans="1:12" ht="18" customHeight="1" x14ac:dyDescent="0.25">
      <c r="A38" s="5" t="s">
        <v>162</v>
      </c>
      <c r="B38" s="5" t="s">
        <v>57</v>
      </c>
      <c r="C38" s="5" t="s">
        <v>158</v>
      </c>
      <c r="D38" s="5" t="s">
        <v>59</v>
      </c>
      <c r="E38" s="5" t="s">
        <v>60</v>
      </c>
      <c r="F38" s="5" t="s">
        <v>159</v>
      </c>
      <c r="G38" s="5" t="s">
        <v>29</v>
      </c>
      <c r="H38" s="5" t="s">
        <v>163</v>
      </c>
      <c r="I38" s="14">
        <v>0</v>
      </c>
      <c r="J38" s="15">
        <v>0.02</v>
      </c>
      <c r="K38" s="16">
        <f>I38*J38</f>
        <v>0</v>
      </c>
      <c r="L38" s="7" t="s">
        <v>164</v>
      </c>
    </row>
    <row r="39" spans="1:12" ht="18" customHeight="1" x14ac:dyDescent="0.25">
      <c r="A39" s="5" t="s">
        <v>165</v>
      </c>
      <c r="B39" s="5" t="s">
        <v>166</v>
      </c>
      <c r="C39" s="5" t="s">
        <v>104</v>
      </c>
      <c r="D39" s="5" t="s">
        <v>104</v>
      </c>
      <c r="E39" s="5" t="s">
        <v>104</v>
      </c>
      <c r="F39" s="5" t="s">
        <v>104</v>
      </c>
      <c r="G39" s="5" t="s">
        <v>104</v>
      </c>
      <c r="H39" s="5" t="s">
        <v>104</v>
      </c>
      <c r="I39" s="14">
        <v>0</v>
      </c>
      <c r="J39" s="15">
        <v>0</v>
      </c>
      <c r="K39" s="16">
        <f>I39*J39</f>
        <v>0</v>
      </c>
      <c r="L39" s="5" t="s">
        <v>167</v>
      </c>
    </row>
    <row r="40" spans="1:12" ht="15.95" customHeight="1" x14ac:dyDescent="0.25">
      <c r="A40" s="5" t="s">
        <v>168</v>
      </c>
      <c r="B40" s="5" t="s">
        <v>166</v>
      </c>
      <c r="C40" s="5" t="s">
        <v>104</v>
      </c>
      <c r="D40" s="5" t="s">
        <v>104</v>
      </c>
      <c r="E40" s="5" t="s">
        <v>104</v>
      </c>
      <c r="F40" s="5" t="s">
        <v>104</v>
      </c>
      <c r="G40" s="5" t="s">
        <v>104</v>
      </c>
      <c r="H40" s="5" t="s">
        <v>104</v>
      </c>
      <c r="I40" s="14">
        <v>0</v>
      </c>
      <c r="J40" s="15">
        <v>0</v>
      </c>
      <c r="K40" s="16">
        <f>I40*J40</f>
        <v>0</v>
      </c>
      <c r="L40" s="6" t="s">
        <v>167</v>
      </c>
    </row>
    <row r="41" spans="1:12" ht="15.9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18">
        <f>SUM(K37:K40)</f>
        <v>0.2</v>
      </c>
      <c r="L41" s="6"/>
    </row>
    <row r="42" spans="1:12" ht="20.100000000000001" customHeight="1" x14ac:dyDescent="0.25">
      <c r="A42" s="13" t="s">
        <v>169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4"/>
    </row>
    <row r="43" spans="1:12" ht="18" customHeight="1" x14ac:dyDescent="0.25">
      <c r="A43" s="5" t="s">
        <v>170</v>
      </c>
      <c r="B43" s="5" t="s">
        <v>171</v>
      </c>
      <c r="C43" s="5" t="s">
        <v>172</v>
      </c>
      <c r="D43" s="5" t="s">
        <v>173</v>
      </c>
      <c r="E43" s="5" t="s">
        <v>174</v>
      </c>
      <c r="F43" s="5" t="s">
        <v>175</v>
      </c>
      <c r="G43" s="5" t="s">
        <v>29</v>
      </c>
      <c r="H43" s="5" t="s">
        <v>176</v>
      </c>
      <c r="I43" s="14">
        <v>1</v>
      </c>
      <c r="J43" s="15">
        <v>0.88</v>
      </c>
      <c r="K43" s="16">
        <f t="shared" ref="K43:K53" si="2">I43*J43</f>
        <v>0.88</v>
      </c>
      <c r="L43" s="6" t="s">
        <v>177</v>
      </c>
    </row>
    <row r="44" spans="1:12" ht="18" customHeight="1" x14ac:dyDescent="0.25">
      <c r="A44" s="5" t="s">
        <v>178</v>
      </c>
      <c r="B44" s="5" t="s">
        <v>179</v>
      </c>
      <c r="C44" s="5" t="s">
        <v>104</v>
      </c>
      <c r="D44" s="5" t="s">
        <v>59</v>
      </c>
      <c r="E44" s="5" t="s">
        <v>104</v>
      </c>
      <c r="F44" s="5" t="s">
        <v>104</v>
      </c>
      <c r="G44" s="5" t="s">
        <v>104</v>
      </c>
      <c r="H44" s="5" t="s">
        <v>104</v>
      </c>
      <c r="I44" s="14">
        <v>0</v>
      </c>
      <c r="J44" s="15">
        <v>0</v>
      </c>
      <c r="K44" s="16">
        <f t="shared" si="2"/>
        <v>0</v>
      </c>
      <c r="L44" s="5" t="s">
        <v>180</v>
      </c>
    </row>
    <row r="45" spans="1:12" ht="18" customHeight="1" x14ac:dyDescent="0.25">
      <c r="A45" s="5" t="s">
        <v>181</v>
      </c>
      <c r="B45" s="5" t="s">
        <v>179</v>
      </c>
      <c r="C45" s="5" t="s">
        <v>104</v>
      </c>
      <c r="D45" s="5" t="s">
        <v>59</v>
      </c>
      <c r="E45" s="5" t="s">
        <v>104</v>
      </c>
      <c r="F45" s="5" t="s">
        <v>104</v>
      </c>
      <c r="G45" s="5" t="s">
        <v>104</v>
      </c>
      <c r="H45" s="5" t="s">
        <v>104</v>
      </c>
      <c r="I45" s="14">
        <v>0</v>
      </c>
      <c r="J45" s="15">
        <v>0</v>
      </c>
      <c r="K45" s="16">
        <f t="shared" si="2"/>
        <v>0</v>
      </c>
      <c r="L45" s="7" t="s">
        <v>180</v>
      </c>
    </row>
    <row r="46" spans="1:12" ht="18" customHeight="1" x14ac:dyDescent="0.25">
      <c r="A46" s="5" t="s">
        <v>182</v>
      </c>
      <c r="B46" s="5" t="s">
        <v>179</v>
      </c>
      <c r="C46" s="5" t="s">
        <v>104</v>
      </c>
      <c r="D46" s="5" t="s">
        <v>59</v>
      </c>
      <c r="E46" s="5" t="s">
        <v>104</v>
      </c>
      <c r="F46" s="5" t="s">
        <v>104</v>
      </c>
      <c r="G46" s="5" t="s">
        <v>104</v>
      </c>
      <c r="H46" s="5" t="s">
        <v>104</v>
      </c>
      <c r="I46" s="14">
        <v>0</v>
      </c>
      <c r="J46" s="15">
        <v>0</v>
      </c>
      <c r="K46" s="16">
        <f t="shared" si="2"/>
        <v>0</v>
      </c>
      <c r="L46" s="7" t="s">
        <v>180</v>
      </c>
    </row>
    <row r="47" spans="1:12" ht="18" customHeight="1" x14ac:dyDescent="0.25">
      <c r="A47" s="5" t="s">
        <v>183</v>
      </c>
      <c r="B47" s="5" t="s">
        <v>179</v>
      </c>
      <c r="C47" s="5" t="s">
        <v>104</v>
      </c>
      <c r="D47" s="5" t="s">
        <v>59</v>
      </c>
      <c r="E47" s="5" t="s">
        <v>104</v>
      </c>
      <c r="F47" s="5" t="s">
        <v>104</v>
      </c>
      <c r="G47" s="5" t="s">
        <v>104</v>
      </c>
      <c r="H47" s="5" t="s">
        <v>104</v>
      </c>
      <c r="I47" s="14">
        <v>0</v>
      </c>
      <c r="J47" s="15">
        <v>0</v>
      </c>
      <c r="K47" s="16">
        <f t="shared" si="2"/>
        <v>0</v>
      </c>
      <c r="L47" s="7" t="s">
        <v>180</v>
      </c>
    </row>
    <row r="48" spans="1:12" ht="18" customHeight="1" x14ac:dyDescent="0.25">
      <c r="A48" s="5" t="s">
        <v>184</v>
      </c>
      <c r="B48" s="5" t="s">
        <v>72</v>
      </c>
      <c r="C48" s="5" t="s">
        <v>92</v>
      </c>
      <c r="D48" s="5" t="s">
        <v>59</v>
      </c>
      <c r="E48" s="5" t="s">
        <v>75</v>
      </c>
      <c r="F48" s="5" t="s">
        <v>93</v>
      </c>
      <c r="G48" s="5" t="s">
        <v>29</v>
      </c>
      <c r="H48" s="5" t="s">
        <v>94</v>
      </c>
      <c r="I48" s="14">
        <v>0</v>
      </c>
      <c r="J48" s="15">
        <v>0.02</v>
      </c>
      <c r="K48" s="16">
        <f t="shared" si="2"/>
        <v>0</v>
      </c>
      <c r="L48" s="7" t="s">
        <v>185</v>
      </c>
    </row>
    <row r="49" spans="1:12" ht="18" customHeight="1" x14ac:dyDescent="0.25">
      <c r="A49" s="5" t="s">
        <v>186</v>
      </c>
      <c r="B49" s="5" t="s">
        <v>187</v>
      </c>
      <c r="C49" s="5" t="s">
        <v>188</v>
      </c>
      <c r="D49" s="5" t="s">
        <v>189</v>
      </c>
      <c r="E49" s="5" t="s">
        <v>190</v>
      </c>
      <c r="F49" s="5" t="s">
        <v>188</v>
      </c>
      <c r="G49" s="5" t="s">
        <v>29</v>
      </c>
      <c r="H49" s="5" t="s">
        <v>191</v>
      </c>
      <c r="I49" s="14">
        <v>1</v>
      </c>
      <c r="J49" s="15">
        <v>2.8</v>
      </c>
      <c r="K49" s="16">
        <f t="shared" si="2"/>
        <v>2.8</v>
      </c>
      <c r="L49" s="6" t="s">
        <v>192</v>
      </c>
    </row>
    <row r="50" spans="1:12" ht="18" customHeight="1" x14ac:dyDescent="0.25">
      <c r="A50" s="5" t="s">
        <v>193</v>
      </c>
      <c r="B50" s="5" t="s">
        <v>72</v>
      </c>
      <c r="C50" s="5" t="s">
        <v>73</v>
      </c>
      <c r="D50" s="5" t="s">
        <v>74</v>
      </c>
      <c r="E50" s="5" t="s">
        <v>75</v>
      </c>
      <c r="F50" s="5" t="s">
        <v>76</v>
      </c>
      <c r="G50" s="5" t="s">
        <v>29</v>
      </c>
      <c r="H50" s="5" t="s">
        <v>77</v>
      </c>
      <c r="I50" s="14">
        <v>0</v>
      </c>
      <c r="J50" s="15">
        <v>0.06</v>
      </c>
      <c r="K50" s="16">
        <f t="shared" si="2"/>
        <v>0</v>
      </c>
      <c r="L50" s="7" t="s">
        <v>194</v>
      </c>
    </row>
    <row r="51" spans="1:12" ht="18" customHeight="1" x14ac:dyDescent="0.25">
      <c r="A51" s="5" t="s">
        <v>195</v>
      </c>
      <c r="B51" s="5" t="s">
        <v>72</v>
      </c>
      <c r="C51" s="5" t="s">
        <v>92</v>
      </c>
      <c r="D51" s="5" t="s">
        <v>59</v>
      </c>
      <c r="E51" s="5" t="s">
        <v>75</v>
      </c>
      <c r="F51" s="5" t="s">
        <v>93</v>
      </c>
      <c r="G51" s="5" t="s">
        <v>29</v>
      </c>
      <c r="H51" s="5" t="s">
        <v>94</v>
      </c>
      <c r="I51" s="14">
        <v>0</v>
      </c>
      <c r="J51" s="15">
        <v>0.02</v>
      </c>
      <c r="K51" s="16">
        <f t="shared" si="2"/>
        <v>0</v>
      </c>
      <c r="L51" s="7" t="s">
        <v>196</v>
      </c>
    </row>
    <row r="52" spans="1:12" ht="18" customHeight="1" x14ac:dyDescent="0.25">
      <c r="A52" s="5" t="s">
        <v>197</v>
      </c>
      <c r="B52" s="5" t="s">
        <v>198</v>
      </c>
      <c r="C52" s="5" t="s">
        <v>199</v>
      </c>
      <c r="D52" s="5" t="s">
        <v>200</v>
      </c>
      <c r="E52" s="5" t="s">
        <v>201</v>
      </c>
      <c r="F52" s="5" t="s">
        <v>202</v>
      </c>
      <c r="G52" s="5" t="s">
        <v>29</v>
      </c>
      <c r="H52" s="5" t="s">
        <v>203</v>
      </c>
      <c r="I52" s="14">
        <v>1</v>
      </c>
      <c r="J52" s="15">
        <v>6.38</v>
      </c>
      <c r="K52" s="16">
        <f t="shared" si="2"/>
        <v>6.38</v>
      </c>
      <c r="L52" s="6" t="s">
        <v>204</v>
      </c>
    </row>
    <row r="53" spans="1:12" ht="18" customHeight="1" x14ac:dyDescent="0.25">
      <c r="A53" s="5" t="s">
        <v>205</v>
      </c>
      <c r="B53" s="5" t="s">
        <v>206</v>
      </c>
      <c r="C53" s="5" t="s">
        <v>207</v>
      </c>
      <c r="D53" s="5" t="s">
        <v>173</v>
      </c>
      <c r="E53" s="5" t="s">
        <v>208</v>
      </c>
      <c r="F53" s="5" t="s">
        <v>209</v>
      </c>
      <c r="G53" s="5" t="s">
        <v>208</v>
      </c>
      <c r="H53" s="5" t="s">
        <v>209</v>
      </c>
      <c r="I53" s="14">
        <v>1</v>
      </c>
      <c r="J53" s="15">
        <v>0</v>
      </c>
      <c r="K53" s="16">
        <f t="shared" si="2"/>
        <v>0</v>
      </c>
      <c r="L53" s="7" t="s">
        <v>210</v>
      </c>
    </row>
    <row r="54" spans="1:12" ht="15.9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18">
        <f>SUM(K43:K53)</f>
        <v>10.059999999999999</v>
      </c>
      <c r="L54" s="7"/>
    </row>
    <row r="55" spans="1:12" ht="20.100000000000001" customHeight="1" x14ac:dyDescent="0.25">
      <c r="A55" s="13" t="s">
        <v>211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4"/>
    </row>
    <row r="56" spans="1:12" ht="18" customHeight="1" x14ac:dyDescent="0.25">
      <c r="A56" s="5" t="s">
        <v>212</v>
      </c>
      <c r="B56" s="5" t="s">
        <v>213</v>
      </c>
      <c r="C56" s="5" t="s">
        <v>214</v>
      </c>
      <c r="D56" s="5" t="s">
        <v>43</v>
      </c>
      <c r="E56" s="5" t="s">
        <v>215</v>
      </c>
      <c r="F56" s="5" t="s">
        <v>216</v>
      </c>
      <c r="G56" s="5" t="s">
        <v>20</v>
      </c>
      <c r="H56" s="5" t="s">
        <v>217</v>
      </c>
      <c r="I56" s="14">
        <v>1</v>
      </c>
      <c r="J56" s="15">
        <v>0.55000000000000004</v>
      </c>
      <c r="K56" s="16">
        <f>I56*J56</f>
        <v>0.55000000000000004</v>
      </c>
      <c r="L56" s="5" t="s">
        <v>218</v>
      </c>
    </row>
    <row r="57" spans="1:12" ht="18" customHeight="1" x14ac:dyDescent="0.25">
      <c r="A57" s="5" t="s">
        <v>219</v>
      </c>
      <c r="B57" s="5" t="s">
        <v>220</v>
      </c>
      <c r="C57" s="5" t="s">
        <v>221</v>
      </c>
      <c r="D57" s="5" t="s">
        <v>222</v>
      </c>
      <c r="E57" s="5" t="s">
        <v>52</v>
      </c>
      <c r="F57" s="5" t="s">
        <v>223</v>
      </c>
      <c r="G57" s="5" t="s">
        <v>29</v>
      </c>
      <c r="H57" s="5" t="s">
        <v>224</v>
      </c>
      <c r="I57" s="14">
        <v>1</v>
      </c>
      <c r="J57" s="15">
        <v>0.1</v>
      </c>
      <c r="K57" s="16">
        <f>I57*J57</f>
        <v>0.1</v>
      </c>
      <c r="L57" s="6" t="s">
        <v>225</v>
      </c>
    </row>
    <row r="58" spans="1:12" ht="18" customHeight="1" x14ac:dyDescent="0.25">
      <c r="A58" s="5" t="s">
        <v>226</v>
      </c>
      <c r="B58" s="5" t="s">
        <v>57</v>
      </c>
      <c r="C58" s="5" t="s">
        <v>152</v>
      </c>
      <c r="D58" s="5" t="s">
        <v>59</v>
      </c>
      <c r="E58" s="5" t="s">
        <v>60</v>
      </c>
      <c r="F58" s="5" t="s">
        <v>153</v>
      </c>
      <c r="G58" s="5" t="s">
        <v>29</v>
      </c>
      <c r="H58" s="5" t="s">
        <v>154</v>
      </c>
      <c r="I58" s="14">
        <v>0</v>
      </c>
      <c r="J58" s="15">
        <v>0.02</v>
      </c>
      <c r="K58" s="16">
        <f>I58*J58</f>
        <v>0</v>
      </c>
      <c r="L58" s="7" t="s">
        <v>227</v>
      </c>
    </row>
    <row r="59" spans="1:12" ht="18" customHeight="1" x14ac:dyDescent="0.25">
      <c r="A59" s="5" t="s">
        <v>228</v>
      </c>
      <c r="B59" s="5" t="s">
        <v>57</v>
      </c>
      <c r="C59" s="5" t="s">
        <v>58</v>
      </c>
      <c r="D59" s="5" t="s">
        <v>59</v>
      </c>
      <c r="E59" s="5" t="s">
        <v>60</v>
      </c>
      <c r="F59" s="5" t="s">
        <v>61</v>
      </c>
      <c r="G59" s="5" t="s">
        <v>29</v>
      </c>
      <c r="H59" s="5" t="s">
        <v>62</v>
      </c>
      <c r="I59" s="14">
        <v>0</v>
      </c>
      <c r="J59" s="15">
        <v>0.02</v>
      </c>
      <c r="K59" s="16">
        <f>I59*J59</f>
        <v>0</v>
      </c>
      <c r="L59" s="7" t="s">
        <v>229</v>
      </c>
    </row>
    <row r="60" spans="1:12" ht="18" customHeight="1" x14ac:dyDescent="0.25">
      <c r="A60" s="5" t="s">
        <v>230</v>
      </c>
      <c r="B60" s="5" t="s">
        <v>206</v>
      </c>
      <c r="C60" s="5" t="s">
        <v>207</v>
      </c>
      <c r="D60" s="5" t="s">
        <v>173</v>
      </c>
      <c r="E60" s="5" t="s">
        <v>208</v>
      </c>
      <c r="F60" s="5" t="s">
        <v>209</v>
      </c>
      <c r="G60" s="5" t="s">
        <v>208</v>
      </c>
      <c r="H60" s="5" t="s">
        <v>209</v>
      </c>
      <c r="I60" s="14">
        <v>1</v>
      </c>
      <c r="J60" s="15">
        <v>0</v>
      </c>
      <c r="K60" s="16">
        <f>I60*J60</f>
        <v>0</v>
      </c>
      <c r="L60" s="5" t="s">
        <v>231</v>
      </c>
    </row>
    <row r="61" spans="1:12" ht="15.9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18">
        <f>SUM(K56:K60)</f>
        <v>0.65</v>
      </c>
      <c r="L61" s="5"/>
    </row>
    <row r="62" spans="1:12" ht="20.100000000000001" customHeight="1" x14ac:dyDescent="0.25">
      <c r="A62" s="13" t="s">
        <v>232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4"/>
    </row>
    <row r="63" spans="1:12" ht="18" customHeight="1" x14ac:dyDescent="0.25">
      <c r="A63" s="5" t="s">
        <v>233</v>
      </c>
      <c r="B63" s="5" t="s">
        <v>206</v>
      </c>
      <c r="C63" s="5" t="s">
        <v>207</v>
      </c>
      <c r="D63" s="5" t="s">
        <v>173</v>
      </c>
      <c r="E63" s="5" t="s">
        <v>208</v>
      </c>
      <c r="F63" s="5" t="s">
        <v>209</v>
      </c>
      <c r="G63" s="5" t="s">
        <v>208</v>
      </c>
      <c r="H63" s="5" t="s">
        <v>209</v>
      </c>
      <c r="I63" s="14">
        <v>1</v>
      </c>
      <c r="J63" s="15">
        <v>0</v>
      </c>
      <c r="K63" s="16">
        <f>I63*J63</f>
        <v>0</v>
      </c>
      <c r="L63" s="7" t="s">
        <v>234</v>
      </c>
    </row>
    <row r="64" spans="1:12" ht="20.100000000000001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18">
        <f>SUM(K63:K63)</f>
        <v>0</v>
      </c>
    </row>
    <row r="65" spans="1:12" ht="20.100000000000001" customHeight="1" x14ac:dyDescent="0.25">
      <c r="A65" s="13" t="s">
        <v>235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"/>
    </row>
    <row r="66" spans="1:12" x14ac:dyDescent="0.25">
      <c r="A66" s="5" t="s">
        <v>236</v>
      </c>
      <c r="B66" s="5" t="s">
        <v>57</v>
      </c>
      <c r="C66" s="5" t="s">
        <v>237</v>
      </c>
      <c r="D66" s="5" t="s">
        <v>59</v>
      </c>
      <c r="E66" s="5" t="s">
        <v>60</v>
      </c>
      <c r="F66" s="5" t="s">
        <v>238</v>
      </c>
      <c r="G66" s="5" t="s">
        <v>29</v>
      </c>
      <c r="H66" s="5" t="s">
        <v>239</v>
      </c>
      <c r="I66" s="14">
        <v>2</v>
      </c>
      <c r="J66" s="15">
        <v>0.02</v>
      </c>
      <c r="K66" s="16">
        <f t="shared" ref="K66:K73" si="3">I66*J66</f>
        <v>0.04</v>
      </c>
      <c r="L66" s="5" t="s">
        <v>240</v>
      </c>
    </row>
    <row r="67" spans="1:12" x14ac:dyDescent="0.25">
      <c r="A67" s="5" t="s">
        <v>241</v>
      </c>
      <c r="B67" s="5" t="s">
        <v>57</v>
      </c>
      <c r="C67" s="5" t="s">
        <v>237</v>
      </c>
      <c r="D67" s="5" t="s">
        <v>59</v>
      </c>
      <c r="E67" s="5" t="s">
        <v>60</v>
      </c>
      <c r="F67" s="5" t="s">
        <v>238</v>
      </c>
      <c r="G67" s="5" t="s">
        <v>29</v>
      </c>
      <c r="H67" s="5" t="s">
        <v>239</v>
      </c>
      <c r="I67" s="14">
        <v>2</v>
      </c>
      <c r="J67" s="15">
        <v>0.02</v>
      </c>
      <c r="K67" s="16">
        <f t="shared" si="3"/>
        <v>0.04</v>
      </c>
      <c r="L67" s="5" t="s">
        <v>242</v>
      </c>
    </row>
    <row r="68" spans="1:12" x14ac:dyDescent="0.25">
      <c r="A68" s="5" t="s">
        <v>243</v>
      </c>
      <c r="B68" s="5" t="s">
        <v>16</v>
      </c>
      <c r="C68" s="5" t="s">
        <v>244</v>
      </c>
      <c r="D68" s="5" t="s">
        <v>245</v>
      </c>
      <c r="E68" s="5" t="s">
        <v>19</v>
      </c>
      <c r="F68" s="5" t="s">
        <v>244</v>
      </c>
      <c r="G68" s="5" t="s">
        <v>29</v>
      </c>
      <c r="H68" s="5" t="s">
        <v>246</v>
      </c>
      <c r="I68" s="14">
        <v>2</v>
      </c>
      <c r="J68" s="15">
        <v>0.16600000000000001</v>
      </c>
      <c r="K68" s="16">
        <f t="shared" si="3"/>
        <v>0.33200000000000002</v>
      </c>
      <c r="L68" s="5" t="s">
        <v>247</v>
      </c>
    </row>
    <row r="69" spans="1:12" x14ac:dyDescent="0.25">
      <c r="A69" s="5" t="s">
        <v>248</v>
      </c>
      <c r="B69" s="5" t="s">
        <v>72</v>
      </c>
      <c r="C69" s="5" t="s">
        <v>249</v>
      </c>
      <c r="D69" s="5" t="s">
        <v>59</v>
      </c>
      <c r="E69" s="5" t="s">
        <v>75</v>
      </c>
      <c r="F69" s="5" t="s">
        <v>250</v>
      </c>
      <c r="G69" s="5" t="s">
        <v>29</v>
      </c>
      <c r="H69" s="5" t="s">
        <v>251</v>
      </c>
      <c r="I69" s="14">
        <v>10</v>
      </c>
      <c r="J69" s="15">
        <v>0.04</v>
      </c>
      <c r="K69" s="16">
        <f t="shared" si="3"/>
        <v>0.4</v>
      </c>
      <c r="L69" s="5" t="s">
        <v>252</v>
      </c>
    </row>
    <row r="70" spans="1:12" x14ac:dyDescent="0.25">
      <c r="A70" s="5" t="s">
        <v>253</v>
      </c>
      <c r="B70" s="5" t="s">
        <v>72</v>
      </c>
      <c r="C70" s="5" t="s">
        <v>73</v>
      </c>
      <c r="D70" s="5" t="s">
        <v>74</v>
      </c>
      <c r="E70" s="5" t="s">
        <v>75</v>
      </c>
      <c r="F70" s="5" t="s">
        <v>76</v>
      </c>
      <c r="G70" s="5" t="s">
        <v>29</v>
      </c>
      <c r="H70" s="5" t="s">
        <v>77</v>
      </c>
      <c r="I70" s="14">
        <v>10</v>
      </c>
      <c r="J70" s="15">
        <v>0.06</v>
      </c>
      <c r="K70" s="16">
        <f t="shared" si="3"/>
        <v>0.6</v>
      </c>
      <c r="L70" s="5" t="s">
        <v>254</v>
      </c>
    </row>
    <row r="71" spans="1:12" x14ac:dyDescent="0.25">
      <c r="A71" s="5" t="s">
        <v>255</v>
      </c>
      <c r="B71" s="5" t="s">
        <v>24</v>
      </c>
      <c r="C71" s="5" t="s">
        <v>256</v>
      </c>
      <c r="D71" s="5" t="s">
        <v>257</v>
      </c>
      <c r="E71" s="5" t="s">
        <v>258</v>
      </c>
      <c r="F71" s="5" t="s">
        <v>259</v>
      </c>
      <c r="G71" s="5" t="s">
        <v>29</v>
      </c>
      <c r="H71" s="5" t="s">
        <v>260</v>
      </c>
      <c r="I71" s="14">
        <v>2</v>
      </c>
      <c r="J71" s="15">
        <v>0.156</v>
      </c>
      <c r="K71" s="16">
        <f t="shared" si="3"/>
        <v>0.312</v>
      </c>
      <c r="L71" s="5" t="s">
        <v>261</v>
      </c>
    </row>
    <row r="72" spans="1:12" x14ac:dyDescent="0.25">
      <c r="A72" s="5" t="s">
        <v>262</v>
      </c>
      <c r="B72" s="5" t="s">
        <v>57</v>
      </c>
      <c r="C72" s="5" t="s">
        <v>263</v>
      </c>
      <c r="D72" s="5" t="s">
        <v>59</v>
      </c>
      <c r="E72" s="5" t="s">
        <v>60</v>
      </c>
      <c r="F72" s="5" t="s">
        <v>264</v>
      </c>
      <c r="G72" s="5" t="s">
        <v>29</v>
      </c>
      <c r="H72" s="5" t="s">
        <v>265</v>
      </c>
      <c r="I72" s="14">
        <v>10</v>
      </c>
      <c r="J72" s="15">
        <v>0.02</v>
      </c>
      <c r="K72" s="16">
        <f t="shared" si="3"/>
        <v>0.2</v>
      </c>
      <c r="L72" s="5" t="s">
        <v>266</v>
      </c>
    </row>
    <row r="73" spans="1:12" x14ac:dyDescent="0.25">
      <c r="A73" s="5" t="s">
        <v>267</v>
      </c>
      <c r="B73" s="5" t="s">
        <v>57</v>
      </c>
      <c r="C73" s="5" t="s">
        <v>58</v>
      </c>
      <c r="D73" s="5" t="s">
        <v>59</v>
      </c>
      <c r="E73" s="5" t="s">
        <v>60</v>
      </c>
      <c r="F73" s="5" t="s">
        <v>61</v>
      </c>
      <c r="G73" s="5" t="s">
        <v>29</v>
      </c>
      <c r="H73" s="5" t="s">
        <v>62</v>
      </c>
      <c r="I73" s="14">
        <v>0</v>
      </c>
      <c r="J73" s="15">
        <v>0.02</v>
      </c>
      <c r="K73" s="16">
        <f t="shared" si="3"/>
        <v>0</v>
      </c>
      <c r="L73" s="5" t="s">
        <v>268</v>
      </c>
    </row>
    <row r="74" spans="1:1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18">
        <f>SUM(K66:K73)</f>
        <v>1.9239999999999999</v>
      </c>
    </row>
    <row r="75" spans="1:12" ht="20.100000000000001" customHeight="1" x14ac:dyDescent="0.25">
      <c r="A75" s="13" t="s">
        <v>269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2" x14ac:dyDescent="0.25">
      <c r="A76" s="5" t="s">
        <v>270</v>
      </c>
      <c r="B76" s="5" t="s">
        <v>108</v>
      </c>
      <c r="C76" s="5" t="s">
        <v>109</v>
      </c>
      <c r="D76" s="5" t="s">
        <v>110</v>
      </c>
      <c r="E76" s="5" t="s">
        <v>111</v>
      </c>
      <c r="F76" s="5" t="s">
        <v>109</v>
      </c>
      <c r="G76" s="5" t="s">
        <v>29</v>
      </c>
      <c r="H76" s="5" t="s">
        <v>112</v>
      </c>
      <c r="I76" s="14">
        <v>2</v>
      </c>
      <c r="J76" s="15">
        <v>4.6100000000000003</v>
      </c>
      <c r="K76" s="16">
        <f t="shared" ref="K76:K86" si="4">I76*J76</f>
        <v>9.2200000000000006</v>
      </c>
      <c r="L76" t="s">
        <v>271</v>
      </c>
    </row>
    <row r="77" spans="1:12" x14ac:dyDescent="0.25">
      <c r="A77" s="5" t="s">
        <v>272</v>
      </c>
      <c r="B77" s="5" t="s">
        <v>115</v>
      </c>
      <c r="C77" s="5" t="s">
        <v>116</v>
      </c>
      <c r="D77" s="5" t="s">
        <v>117</v>
      </c>
      <c r="E77" s="5" t="s">
        <v>118</v>
      </c>
      <c r="F77" s="5" t="s">
        <v>119</v>
      </c>
      <c r="G77" s="5" t="s">
        <v>20</v>
      </c>
      <c r="H77" s="5" t="s">
        <v>273</v>
      </c>
      <c r="I77" s="14">
        <v>2</v>
      </c>
      <c r="J77" s="15">
        <v>0.32</v>
      </c>
      <c r="K77" s="16">
        <f t="shared" si="4"/>
        <v>0.64</v>
      </c>
      <c r="L77" t="s">
        <v>274</v>
      </c>
    </row>
    <row r="78" spans="1:12" x14ac:dyDescent="0.25">
      <c r="A78" s="5" t="s">
        <v>275</v>
      </c>
      <c r="B78" s="5" t="s">
        <v>132</v>
      </c>
      <c r="C78" s="5" t="s">
        <v>133</v>
      </c>
      <c r="D78" s="5" t="s">
        <v>134</v>
      </c>
      <c r="E78" s="5" t="s">
        <v>135</v>
      </c>
      <c r="F78" s="5" t="s">
        <v>136</v>
      </c>
      <c r="G78" s="5" t="s">
        <v>29</v>
      </c>
      <c r="H78" s="5" t="s">
        <v>137</v>
      </c>
      <c r="I78" s="14">
        <v>2</v>
      </c>
      <c r="J78" s="15">
        <v>0.122</v>
      </c>
      <c r="K78" s="16">
        <f t="shared" si="4"/>
        <v>0.24399999999999999</v>
      </c>
      <c r="L78" t="s">
        <v>276</v>
      </c>
    </row>
    <row r="79" spans="1:12" x14ac:dyDescent="0.25">
      <c r="A79" s="5" t="s">
        <v>277</v>
      </c>
      <c r="B79" s="5" t="s">
        <v>132</v>
      </c>
      <c r="C79" s="5" t="s">
        <v>133</v>
      </c>
      <c r="D79" s="5" t="s">
        <v>134</v>
      </c>
      <c r="E79" s="5" t="s">
        <v>135</v>
      </c>
      <c r="F79" s="5" t="s">
        <v>136</v>
      </c>
      <c r="G79" s="5" t="s">
        <v>29</v>
      </c>
      <c r="H79" s="5" t="s">
        <v>137</v>
      </c>
      <c r="I79" s="14">
        <v>2</v>
      </c>
      <c r="J79" s="15">
        <v>0.122</v>
      </c>
      <c r="K79" s="16">
        <f t="shared" si="4"/>
        <v>0.24399999999999999</v>
      </c>
      <c r="L79" t="s">
        <v>278</v>
      </c>
    </row>
    <row r="80" spans="1:12" x14ac:dyDescent="0.25">
      <c r="A80" s="5" t="s">
        <v>279</v>
      </c>
      <c r="B80" s="5" t="s">
        <v>146</v>
      </c>
      <c r="C80" s="5" t="s">
        <v>147</v>
      </c>
      <c r="D80" s="5" t="s">
        <v>148</v>
      </c>
      <c r="E80" s="5" t="s">
        <v>27</v>
      </c>
      <c r="F80" s="5" t="s">
        <v>280</v>
      </c>
      <c r="G80" s="5" t="s">
        <v>29</v>
      </c>
      <c r="H80" s="5" t="s">
        <v>149</v>
      </c>
      <c r="I80" s="14">
        <v>2</v>
      </c>
      <c r="J80" s="15">
        <v>0</v>
      </c>
      <c r="K80" s="16">
        <f t="shared" si="4"/>
        <v>0</v>
      </c>
      <c r="L80" t="s">
        <v>281</v>
      </c>
    </row>
    <row r="81" spans="1:12" x14ac:dyDescent="0.25">
      <c r="A81" s="5" t="s">
        <v>282</v>
      </c>
      <c r="B81" s="5" t="s">
        <v>57</v>
      </c>
      <c r="C81" s="5" t="s">
        <v>125</v>
      </c>
      <c r="D81" s="5" t="s">
        <v>59</v>
      </c>
      <c r="E81" s="5" t="s">
        <v>60</v>
      </c>
      <c r="F81" s="5" t="s">
        <v>126</v>
      </c>
      <c r="G81" s="5" t="s">
        <v>29</v>
      </c>
      <c r="H81" s="5" t="s">
        <v>283</v>
      </c>
      <c r="I81" s="14">
        <v>0</v>
      </c>
      <c r="J81" s="15">
        <v>0.02</v>
      </c>
      <c r="K81" s="16">
        <f t="shared" si="4"/>
        <v>0</v>
      </c>
      <c r="L81" t="s">
        <v>284</v>
      </c>
    </row>
    <row r="82" spans="1:12" x14ac:dyDescent="0.25">
      <c r="A82" s="5" t="s">
        <v>285</v>
      </c>
      <c r="B82" s="5" t="s">
        <v>57</v>
      </c>
      <c r="C82" s="5" t="s">
        <v>125</v>
      </c>
      <c r="D82" s="5" t="s">
        <v>59</v>
      </c>
      <c r="E82" s="5" t="s">
        <v>60</v>
      </c>
      <c r="F82" s="5" t="s">
        <v>126</v>
      </c>
      <c r="G82" s="5" t="s">
        <v>29</v>
      </c>
      <c r="H82" s="5" t="s">
        <v>283</v>
      </c>
      <c r="I82" s="14">
        <v>0</v>
      </c>
      <c r="J82" s="15">
        <v>0.02</v>
      </c>
      <c r="K82" s="16">
        <f t="shared" si="4"/>
        <v>0</v>
      </c>
      <c r="L82" t="s">
        <v>286</v>
      </c>
    </row>
    <row r="83" spans="1:12" x14ac:dyDescent="0.25">
      <c r="A83" s="5" t="s">
        <v>287</v>
      </c>
      <c r="B83" s="5" t="s">
        <v>57</v>
      </c>
      <c r="C83" s="5" t="s">
        <v>125</v>
      </c>
      <c r="D83" s="5" t="s">
        <v>59</v>
      </c>
      <c r="E83" s="5" t="s">
        <v>60</v>
      </c>
      <c r="F83" s="5" t="s">
        <v>126</v>
      </c>
      <c r="G83" s="5" t="s">
        <v>29</v>
      </c>
      <c r="H83" s="5" t="s">
        <v>283</v>
      </c>
      <c r="I83" s="14">
        <v>0</v>
      </c>
      <c r="J83" s="15">
        <v>0.02</v>
      </c>
      <c r="K83" s="16">
        <f t="shared" si="4"/>
        <v>0</v>
      </c>
      <c r="L83" t="s">
        <v>288</v>
      </c>
    </row>
    <row r="84" spans="1:12" x14ac:dyDescent="0.25">
      <c r="A84" s="5" t="s">
        <v>289</v>
      </c>
      <c r="B84" s="5" t="s">
        <v>57</v>
      </c>
      <c r="C84" s="5" t="s">
        <v>152</v>
      </c>
      <c r="D84" s="5" t="s">
        <v>59</v>
      </c>
      <c r="E84" s="5" t="s">
        <v>60</v>
      </c>
      <c r="F84" s="5" t="s">
        <v>153</v>
      </c>
      <c r="G84" s="5" t="s">
        <v>29</v>
      </c>
      <c r="H84" s="5" t="s">
        <v>154</v>
      </c>
      <c r="I84" s="14">
        <v>0</v>
      </c>
      <c r="J84" s="15">
        <v>0.02</v>
      </c>
      <c r="K84" s="16">
        <f t="shared" si="4"/>
        <v>0</v>
      </c>
      <c r="L84" t="s">
        <v>290</v>
      </c>
    </row>
    <row r="85" spans="1:12" x14ac:dyDescent="0.25">
      <c r="A85" s="5" t="s">
        <v>291</v>
      </c>
      <c r="B85" s="5" t="s">
        <v>72</v>
      </c>
      <c r="C85" s="5" t="s">
        <v>92</v>
      </c>
      <c r="D85" s="5" t="s">
        <v>59</v>
      </c>
      <c r="E85" s="5" t="s">
        <v>75</v>
      </c>
      <c r="F85" s="5" t="s">
        <v>93</v>
      </c>
      <c r="G85" s="5" t="s">
        <v>29</v>
      </c>
      <c r="H85" s="5" t="s">
        <v>94</v>
      </c>
      <c r="I85" s="14">
        <v>0</v>
      </c>
      <c r="J85" s="15">
        <v>0.02</v>
      </c>
      <c r="K85" s="16">
        <f t="shared" si="4"/>
        <v>0</v>
      </c>
      <c r="L85" t="s">
        <v>292</v>
      </c>
    </row>
    <row r="86" spans="1:12" x14ac:dyDescent="0.25">
      <c r="A86" s="5" t="s">
        <v>293</v>
      </c>
      <c r="B86" s="5" t="s">
        <v>72</v>
      </c>
      <c r="C86" s="5" t="s">
        <v>92</v>
      </c>
      <c r="D86" s="5" t="s">
        <v>59</v>
      </c>
      <c r="E86" s="5" t="s">
        <v>75</v>
      </c>
      <c r="F86" s="5" t="s">
        <v>93</v>
      </c>
      <c r="G86" s="5" t="s">
        <v>29</v>
      </c>
      <c r="H86" s="5" t="s">
        <v>94</v>
      </c>
      <c r="I86" s="14">
        <v>0</v>
      </c>
      <c r="J86" s="15">
        <v>0.02</v>
      </c>
      <c r="K86" s="16">
        <f t="shared" si="4"/>
        <v>0</v>
      </c>
      <c r="L86" t="s">
        <v>294</v>
      </c>
    </row>
    <row r="87" spans="1:1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18">
        <f>SUM(K76:K86)</f>
        <v>10.348000000000001</v>
      </c>
    </row>
    <row r="88" spans="1:12" ht="20.100000000000001" customHeight="1" x14ac:dyDescent="0.25">
      <c r="A88" s="13" t="s">
        <v>295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2" x14ac:dyDescent="0.25">
      <c r="A89" s="5" t="s">
        <v>296</v>
      </c>
      <c r="B89" s="5" t="s">
        <v>57</v>
      </c>
      <c r="C89" s="5" t="s">
        <v>158</v>
      </c>
      <c r="D89" s="5" t="s">
        <v>59</v>
      </c>
      <c r="E89" s="5" t="s">
        <v>60</v>
      </c>
      <c r="F89" s="5" t="s">
        <v>159</v>
      </c>
      <c r="G89" s="5" t="s">
        <v>29</v>
      </c>
      <c r="H89" s="5" t="s">
        <v>163</v>
      </c>
      <c r="I89" s="14">
        <v>0</v>
      </c>
      <c r="J89" s="15">
        <v>0.02</v>
      </c>
      <c r="K89" s="16">
        <f>I89*J89</f>
        <v>0</v>
      </c>
      <c r="L89" t="s">
        <v>297</v>
      </c>
    </row>
    <row r="90" spans="1:12" x14ac:dyDescent="0.25">
      <c r="A90" s="5" t="s">
        <v>298</v>
      </c>
      <c r="B90" s="5" t="s">
        <v>166</v>
      </c>
      <c r="C90" s="5" t="s">
        <v>104</v>
      </c>
      <c r="D90" s="5" t="s">
        <v>104</v>
      </c>
      <c r="E90" s="5" t="s">
        <v>104</v>
      </c>
      <c r="F90" s="5" t="s">
        <v>104</v>
      </c>
      <c r="G90" s="5" t="s">
        <v>104</v>
      </c>
      <c r="H90" s="5" t="s">
        <v>104</v>
      </c>
      <c r="I90" s="14">
        <v>0</v>
      </c>
      <c r="J90" s="15">
        <v>0</v>
      </c>
      <c r="K90" s="16">
        <f>I90*J90</f>
        <v>0</v>
      </c>
      <c r="L90" t="s">
        <v>299</v>
      </c>
    </row>
    <row r="91" spans="1:1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18">
        <f>SUM(K89:K90)</f>
        <v>0</v>
      </c>
    </row>
    <row r="92" spans="1:12" ht="20.100000000000001" customHeight="1" x14ac:dyDescent="0.25">
      <c r="A92" s="13" t="s">
        <v>300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spans="1:12" x14ac:dyDescent="0.25">
      <c r="A93" s="5" t="s">
        <v>301</v>
      </c>
      <c r="B93" s="5" t="s">
        <v>171</v>
      </c>
      <c r="C93" s="5" t="s">
        <v>172</v>
      </c>
      <c r="D93" s="5" t="s">
        <v>173</v>
      </c>
      <c r="E93" s="5" t="s">
        <v>174</v>
      </c>
      <c r="F93" s="5" t="s">
        <v>175</v>
      </c>
      <c r="G93" s="5" t="s">
        <v>29</v>
      </c>
      <c r="H93" s="5" t="s">
        <v>176</v>
      </c>
      <c r="I93" s="14">
        <v>2</v>
      </c>
      <c r="J93" s="15">
        <v>0.88</v>
      </c>
      <c r="K93" s="16">
        <f t="shared" ref="K93:K102" si="5">I93*J93</f>
        <v>1.76</v>
      </c>
      <c r="L93" t="s">
        <v>302</v>
      </c>
    </row>
    <row r="94" spans="1:12" x14ac:dyDescent="0.25">
      <c r="A94" s="5" t="s">
        <v>303</v>
      </c>
      <c r="B94" s="5" t="s">
        <v>187</v>
      </c>
      <c r="C94" s="5" t="s">
        <v>188</v>
      </c>
      <c r="D94" s="5" t="s">
        <v>189</v>
      </c>
      <c r="E94" s="5" t="s">
        <v>190</v>
      </c>
      <c r="F94" s="5" t="s">
        <v>188</v>
      </c>
      <c r="G94" s="5" t="s">
        <v>29</v>
      </c>
      <c r="H94" s="5" t="s">
        <v>191</v>
      </c>
      <c r="I94" s="14">
        <v>2</v>
      </c>
      <c r="J94" s="15">
        <v>2.8</v>
      </c>
      <c r="K94" s="16">
        <f t="shared" si="5"/>
        <v>5.6</v>
      </c>
      <c r="L94" t="s">
        <v>304</v>
      </c>
    </row>
    <row r="95" spans="1:12" x14ac:dyDescent="0.25">
      <c r="A95" s="5" t="s">
        <v>305</v>
      </c>
      <c r="B95" s="5" t="s">
        <v>198</v>
      </c>
      <c r="C95" s="5" t="s">
        <v>306</v>
      </c>
      <c r="D95" s="5" t="s">
        <v>307</v>
      </c>
      <c r="E95" s="5" t="s">
        <v>201</v>
      </c>
      <c r="F95" s="5" t="s">
        <v>308</v>
      </c>
      <c r="G95" s="5" t="s">
        <v>29</v>
      </c>
      <c r="H95" s="5" t="s">
        <v>309</v>
      </c>
      <c r="I95" s="14">
        <v>2</v>
      </c>
      <c r="J95" s="15">
        <v>6.9589999999999996</v>
      </c>
      <c r="K95" s="16">
        <f t="shared" si="5"/>
        <v>13.917999999999999</v>
      </c>
      <c r="L95" t="s">
        <v>310</v>
      </c>
    </row>
    <row r="96" spans="1:12" x14ac:dyDescent="0.25">
      <c r="A96" s="5" t="s">
        <v>311</v>
      </c>
      <c r="B96" s="5" t="s">
        <v>206</v>
      </c>
      <c r="C96" s="5" t="s">
        <v>207</v>
      </c>
      <c r="D96" s="5" t="s">
        <v>173</v>
      </c>
      <c r="E96" s="5" t="s">
        <v>208</v>
      </c>
      <c r="F96" s="5" t="s">
        <v>209</v>
      </c>
      <c r="G96" s="5" t="s">
        <v>208</v>
      </c>
      <c r="H96" s="5" t="s">
        <v>209</v>
      </c>
      <c r="I96" s="14">
        <v>2</v>
      </c>
      <c r="J96" s="15">
        <v>0</v>
      </c>
      <c r="K96" s="16">
        <f t="shared" si="5"/>
        <v>0</v>
      </c>
      <c r="L96" t="s">
        <v>312</v>
      </c>
    </row>
    <row r="97" spans="1:12" x14ac:dyDescent="0.25">
      <c r="A97" s="5" t="s">
        <v>313</v>
      </c>
      <c r="B97" s="5" t="s">
        <v>314</v>
      </c>
      <c r="C97" s="5" t="s">
        <v>315</v>
      </c>
      <c r="D97" s="5" t="s">
        <v>148</v>
      </c>
      <c r="E97" s="5" t="s">
        <v>316</v>
      </c>
      <c r="F97" s="5" t="s">
        <v>317</v>
      </c>
      <c r="G97" s="5" t="s">
        <v>318</v>
      </c>
      <c r="H97" s="5" t="s">
        <v>317</v>
      </c>
      <c r="I97" s="14">
        <v>8</v>
      </c>
      <c r="J97" s="15">
        <v>0</v>
      </c>
      <c r="K97" s="16">
        <f t="shared" si="5"/>
        <v>0</v>
      </c>
      <c r="L97" t="s">
        <v>319</v>
      </c>
    </row>
    <row r="98" spans="1:12" x14ac:dyDescent="0.25">
      <c r="A98" s="5" t="s">
        <v>320</v>
      </c>
      <c r="B98" s="5" t="s">
        <v>179</v>
      </c>
      <c r="C98" s="5" t="s">
        <v>104</v>
      </c>
      <c r="D98" s="5" t="s">
        <v>59</v>
      </c>
      <c r="E98" s="5" t="s">
        <v>104</v>
      </c>
      <c r="F98" s="5" t="s">
        <v>104</v>
      </c>
      <c r="G98" s="5" t="s">
        <v>104</v>
      </c>
      <c r="H98" s="5" t="s">
        <v>104</v>
      </c>
      <c r="I98" s="14">
        <v>0</v>
      </c>
      <c r="J98" s="15">
        <v>0</v>
      </c>
      <c r="K98" s="16">
        <f t="shared" si="5"/>
        <v>0</v>
      </c>
      <c r="L98" t="s">
        <v>321</v>
      </c>
    </row>
    <row r="99" spans="1:12" x14ac:dyDescent="0.25">
      <c r="A99" s="5" t="s">
        <v>322</v>
      </c>
      <c r="B99" s="5" t="s">
        <v>179</v>
      </c>
      <c r="C99" s="5" t="s">
        <v>104</v>
      </c>
      <c r="D99" s="5" t="s">
        <v>59</v>
      </c>
      <c r="E99" s="5" t="s">
        <v>104</v>
      </c>
      <c r="F99" s="5" t="s">
        <v>104</v>
      </c>
      <c r="G99" s="5" t="s">
        <v>104</v>
      </c>
      <c r="H99" s="5" t="s">
        <v>104</v>
      </c>
      <c r="I99" s="14">
        <v>0</v>
      </c>
      <c r="J99" s="15">
        <v>0</v>
      </c>
      <c r="K99" s="16">
        <f t="shared" si="5"/>
        <v>0</v>
      </c>
      <c r="L99" t="s">
        <v>323</v>
      </c>
    </row>
    <row r="100" spans="1:12" x14ac:dyDescent="0.25">
      <c r="A100" s="5" t="s">
        <v>324</v>
      </c>
      <c r="B100" s="5" t="s">
        <v>72</v>
      </c>
      <c r="C100" s="5" t="s">
        <v>92</v>
      </c>
      <c r="D100" s="5" t="s">
        <v>59</v>
      </c>
      <c r="E100" s="5" t="s">
        <v>75</v>
      </c>
      <c r="F100" s="5" t="s">
        <v>93</v>
      </c>
      <c r="G100" s="5" t="s">
        <v>29</v>
      </c>
      <c r="H100" s="5" t="s">
        <v>94</v>
      </c>
      <c r="I100" s="14">
        <v>0</v>
      </c>
      <c r="J100" s="15">
        <v>0.02</v>
      </c>
      <c r="K100" s="16">
        <f t="shared" si="5"/>
        <v>0</v>
      </c>
      <c r="L100" t="s">
        <v>325</v>
      </c>
    </row>
    <row r="101" spans="1:12" x14ac:dyDescent="0.25">
      <c r="A101" s="5" t="s">
        <v>326</v>
      </c>
      <c r="B101" s="5" t="s">
        <v>72</v>
      </c>
      <c r="C101" s="5" t="s">
        <v>73</v>
      </c>
      <c r="D101" s="5" t="s">
        <v>74</v>
      </c>
      <c r="E101" s="5" t="s">
        <v>75</v>
      </c>
      <c r="F101" s="5" t="s">
        <v>76</v>
      </c>
      <c r="G101" s="5" t="s">
        <v>29</v>
      </c>
      <c r="H101" s="5" t="s">
        <v>77</v>
      </c>
      <c r="I101" s="14">
        <v>0</v>
      </c>
      <c r="J101" s="15">
        <v>0.06</v>
      </c>
      <c r="K101" s="16">
        <f t="shared" si="5"/>
        <v>0</v>
      </c>
      <c r="L101" t="s">
        <v>194</v>
      </c>
    </row>
    <row r="102" spans="1:12" x14ac:dyDescent="0.25">
      <c r="A102" s="5" t="s">
        <v>327</v>
      </c>
      <c r="B102" s="5" t="s">
        <v>72</v>
      </c>
      <c r="C102" s="5" t="s">
        <v>92</v>
      </c>
      <c r="D102" s="5" t="s">
        <v>59</v>
      </c>
      <c r="E102" s="5" t="s">
        <v>75</v>
      </c>
      <c r="F102" s="5" t="s">
        <v>93</v>
      </c>
      <c r="G102" s="5" t="s">
        <v>29</v>
      </c>
      <c r="H102" s="5" t="s">
        <v>94</v>
      </c>
      <c r="I102" s="14">
        <v>0</v>
      </c>
      <c r="J102" s="15">
        <v>0.02</v>
      </c>
      <c r="K102" s="16">
        <f t="shared" si="5"/>
        <v>0</v>
      </c>
      <c r="L102" t="s">
        <v>328</v>
      </c>
    </row>
    <row r="103" spans="1:1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8">
        <f>SUM(K93:K102)</f>
        <v>21.277999999999999</v>
      </c>
    </row>
    <row r="105" spans="1:12" ht="21.95" customHeight="1" x14ac:dyDescent="0.25">
      <c r="A105" s="19" t="s">
        <v>329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1">
        <f>K22+K35+K41+K54+K61+K64</f>
        <v>27.043999999999997</v>
      </c>
    </row>
    <row r="106" spans="1:12" ht="21.95" customHeight="1" x14ac:dyDescent="0.25">
      <c r="A106" s="19" t="s">
        <v>330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1">
        <f>K74+K87+K91+K103</f>
        <v>33.549999999999997</v>
      </c>
    </row>
    <row r="108" spans="1:12" ht="27.95" customHeight="1" x14ac:dyDescent="0.25">
      <c r="A108" s="22" t="s">
        <v>331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4">
        <f>K105+K106</f>
        <v>60.593999999999994</v>
      </c>
    </row>
  </sheetData>
  <pageMargins left="0.75" right="0.75" top="1" bottom="1" header="0.5" footer="0.5"/>
  <pageSetup paperSize="9" orientation="portrait" useFirstPageNumber="1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34"/>
  <sheetViews>
    <sheetView tabSelected="1" zoomScale="115" zoomScaleNormal="115" workbookViewId="0">
      <selection activeCell="B1" sqref="B1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45" customWidth="1"/>
  </cols>
  <sheetData>
    <row r="1" spans="1:4" ht="21.95" customHeight="1" x14ac:dyDescent="0.25">
      <c r="A1" s="28" t="s">
        <v>332</v>
      </c>
      <c r="B1" s="28" t="s">
        <v>333</v>
      </c>
      <c r="C1" s="28" t="s">
        <v>334</v>
      </c>
    </row>
    <row r="2" spans="1:4" ht="18" hidden="1" customHeight="1" x14ac:dyDescent="0.25">
      <c r="A2" s="10">
        <v>1</v>
      </c>
      <c r="B2" s="10" t="s">
        <v>30</v>
      </c>
      <c r="C2" s="10" t="s">
        <v>335</v>
      </c>
      <c r="D2" s="27" t="b">
        <v>1</v>
      </c>
    </row>
    <row r="3" spans="1:4" ht="18" hidden="1" customHeight="1" x14ac:dyDescent="0.25">
      <c r="A3" s="11">
        <v>1</v>
      </c>
      <c r="B3" s="11" t="s">
        <v>38</v>
      </c>
      <c r="C3" s="11" t="s">
        <v>336</v>
      </c>
      <c r="D3" s="27" t="b">
        <v>1</v>
      </c>
    </row>
    <row r="4" spans="1:4" ht="18" hidden="1" customHeight="1" x14ac:dyDescent="0.25">
      <c r="A4" s="10">
        <v>1</v>
      </c>
      <c r="B4" s="10" t="s">
        <v>46</v>
      </c>
      <c r="C4" s="10" t="s">
        <v>337</v>
      </c>
      <c r="D4" s="27" t="b">
        <v>1</v>
      </c>
    </row>
    <row r="5" spans="1:4" ht="18" hidden="1" customHeight="1" x14ac:dyDescent="0.25">
      <c r="A5" s="11">
        <v>1</v>
      </c>
      <c r="B5" s="11" t="s">
        <v>54</v>
      </c>
      <c r="C5" s="11" t="s">
        <v>338</v>
      </c>
      <c r="D5" s="27" t="b">
        <v>1</v>
      </c>
    </row>
    <row r="6" spans="1:4" ht="18" hidden="1" customHeight="1" x14ac:dyDescent="0.25">
      <c r="A6" s="10">
        <v>10</v>
      </c>
      <c r="B6" s="10" t="s">
        <v>62</v>
      </c>
      <c r="C6" s="10" t="s">
        <v>339</v>
      </c>
      <c r="D6" s="27" t="b">
        <v>1</v>
      </c>
    </row>
    <row r="7" spans="1:4" ht="18" hidden="1" customHeight="1" x14ac:dyDescent="0.25">
      <c r="A7" s="11">
        <v>10</v>
      </c>
      <c r="B7" s="11" t="s">
        <v>67</v>
      </c>
      <c r="C7" s="11" t="s">
        <v>340</v>
      </c>
      <c r="D7" s="27" t="b">
        <v>1</v>
      </c>
    </row>
    <row r="8" spans="1:4" ht="18" hidden="1" customHeight="1" x14ac:dyDescent="0.25">
      <c r="A8" s="10">
        <v>10</v>
      </c>
      <c r="B8" s="10" t="s">
        <v>77</v>
      </c>
      <c r="C8" s="10" t="s">
        <v>369</v>
      </c>
      <c r="D8" s="27" t="b">
        <v>1</v>
      </c>
    </row>
    <row r="9" spans="1:4" ht="18" hidden="1" customHeight="1" x14ac:dyDescent="0.25">
      <c r="A9" s="11">
        <v>10</v>
      </c>
      <c r="B9" s="11" t="s">
        <v>82</v>
      </c>
      <c r="C9" s="11" t="s">
        <v>341</v>
      </c>
      <c r="D9" s="27" t="b">
        <v>1</v>
      </c>
    </row>
    <row r="10" spans="1:4" ht="18" hidden="1" customHeight="1" x14ac:dyDescent="0.25">
      <c r="A10" s="10">
        <v>10</v>
      </c>
      <c r="B10" s="10" t="s">
        <v>87</v>
      </c>
      <c r="C10" s="10" t="s">
        <v>342</v>
      </c>
      <c r="D10" s="27" t="b">
        <v>1</v>
      </c>
    </row>
    <row r="11" spans="1:4" ht="18" hidden="1" customHeight="1" x14ac:dyDescent="0.25">
      <c r="A11" s="11">
        <v>10</v>
      </c>
      <c r="B11" s="11" t="s">
        <v>366</v>
      </c>
      <c r="C11" s="11" t="s">
        <v>343</v>
      </c>
      <c r="D11" s="27" t="b">
        <v>1</v>
      </c>
    </row>
    <row r="12" spans="1:4" ht="18" hidden="1" customHeight="1" x14ac:dyDescent="0.25">
      <c r="A12" s="10">
        <v>10</v>
      </c>
      <c r="B12" s="10" t="s">
        <v>100</v>
      </c>
      <c r="C12" s="10" t="s">
        <v>344</v>
      </c>
      <c r="D12" s="27" t="b">
        <v>1</v>
      </c>
    </row>
    <row r="13" spans="1:4" ht="18" hidden="1" customHeight="1" x14ac:dyDescent="0.25">
      <c r="A13" s="11">
        <v>3</v>
      </c>
      <c r="B13" s="11" t="s">
        <v>112</v>
      </c>
      <c r="C13" s="11" t="s">
        <v>370</v>
      </c>
      <c r="D13" s="27" t="b">
        <v>1</v>
      </c>
    </row>
    <row r="14" spans="1:4" ht="18" hidden="1" customHeight="1" x14ac:dyDescent="0.25">
      <c r="A14" s="10">
        <v>10</v>
      </c>
      <c r="B14" s="10" t="s">
        <v>127</v>
      </c>
      <c r="C14" s="10" t="s">
        <v>345</v>
      </c>
      <c r="D14" s="27" t="b">
        <v>1</v>
      </c>
    </row>
    <row r="15" spans="1:4" ht="18" hidden="1" customHeight="1" x14ac:dyDescent="0.25">
      <c r="A15" s="11">
        <v>10</v>
      </c>
      <c r="B15" s="11" t="s">
        <v>137</v>
      </c>
      <c r="C15" s="11" t="s">
        <v>371</v>
      </c>
      <c r="D15" s="27" t="b">
        <v>1</v>
      </c>
    </row>
    <row r="16" spans="1:4" ht="18" hidden="1" customHeight="1" x14ac:dyDescent="0.25">
      <c r="A16" s="10">
        <v>10</v>
      </c>
      <c r="B16" s="10" t="s">
        <v>154</v>
      </c>
      <c r="C16" s="10" t="s">
        <v>346</v>
      </c>
      <c r="D16" s="27" t="b">
        <v>1</v>
      </c>
    </row>
    <row r="17" spans="1:4" ht="18" hidden="1" customHeight="1" x14ac:dyDescent="0.25">
      <c r="A17" s="11">
        <v>10</v>
      </c>
      <c r="B17" s="11" t="s">
        <v>160</v>
      </c>
      <c r="C17" s="11" t="s">
        <v>347</v>
      </c>
      <c r="D17" s="27" t="b">
        <v>1</v>
      </c>
    </row>
    <row r="18" spans="1:4" ht="18" hidden="1" customHeight="1" x14ac:dyDescent="0.25">
      <c r="A18" s="10">
        <v>1</v>
      </c>
      <c r="B18" s="10" t="s">
        <v>176</v>
      </c>
      <c r="C18" s="10" t="s">
        <v>348</v>
      </c>
      <c r="D18" s="27" t="b">
        <v>1</v>
      </c>
    </row>
    <row r="19" spans="1:4" ht="18" hidden="1" customHeight="1" x14ac:dyDescent="0.25">
      <c r="A19" s="11">
        <v>3</v>
      </c>
      <c r="B19" s="11" t="s">
        <v>191</v>
      </c>
      <c r="C19" s="11" t="s">
        <v>372</v>
      </c>
      <c r="D19" s="27" t="b">
        <v>1</v>
      </c>
    </row>
    <row r="20" spans="1:4" ht="18" hidden="1" customHeight="1" x14ac:dyDescent="0.25">
      <c r="A20" s="10">
        <v>1</v>
      </c>
      <c r="B20" s="10" t="s">
        <v>203</v>
      </c>
      <c r="C20" s="10" t="s">
        <v>349</v>
      </c>
      <c r="D20" s="27" t="b">
        <v>1</v>
      </c>
    </row>
    <row r="21" spans="1:4" ht="18" hidden="1" customHeight="1" x14ac:dyDescent="0.25">
      <c r="A21" s="11">
        <v>1</v>
      </c>
      <c r="B21" s="11" t="s">
        <v>224</v>
      </c>
      <c r="C21" s="11" t="s">
        <v>350</v>
      </c>
      <c r="D21" s="27" t="b">
        <v>1</v>
      </c>
    </row>
    <row r="22" spans="1:4" ht="18" hidden="1" customHeight="1" x14ac:dyDescent="0.25">
      <c r="A22" s="10">
        <v>4</v>
      </c>
      <c r="B22" t="s">
        <v>367</v>
      </c>
      <c r="C22" s="10" t="s">
        <v>351</v>
      </c>
      <c r="D22" s="27" t="b">
        <v>1</v>
      </c>
    </row>
    <row r="23" spans="1:4" ht="18" hidden="1" customHeight="1" x14ac:dyDescent="0.25">
      <c r="A23" s="11">
        <v>2</v>
      </c>
      <c r="B23" s="11" t="s">
        <v>246</v>
      </c>
      <c r="C23" s="11" t="s">
        <v>352</v>
      </c>
      <c r="D23" s="27" t="b">
        <v>1</v>
      </c>
    </row>
    <row r="24" spans="1:4" ht="18" hidden="1" customHeight="1" x14ac:dyDescent="0.25">
      <c r="A24" s="10">
        <v>10</v>
      </c>
      <c r="B24" s="10" t="s">
        <v>251</v>
      </c>
      <c r="C24" s="10" t="s">
        <v>353</v>
      </c>
      <c r="D24" s="27" t="b">
        <v>1</v>
      </c>
    </row>
    <row r="25" spans="1:4" ht="18" hidden="1" customHeight="1" x14ac:dyDescent="0.25">
      <c r="A25" s="11"/>
      <c r="B25" s="11"/>
      <c r="C25" s="11"/>
    </row>
    <row r="26" spans="1:4" hidden="1" x14ac:dyDescent="0.25">
      <c r="A26" s="10">
        <v>2</v>
      </c>
      <c r="B26" s="10" t="s">
        <v>260</v>
      </c>
      <c r="C26" s="10" t="s">
        <v>354</v>
      </c>
      <c r="D26" s="27" t="b">
        <v>1</v>
      </c>
    </row>
    <row r="27" spans="1:4" x14ac:dyDescent="0.25">
      <c r="A27" s="11">
        <v>10</v>
      </c>
      <c r="B27" t="s">
        <v>368</v>
      </c>
      <c r="C27" s="11" t="s">
        <v>355</v>
      </c>
      <c r="D27" s="27" t="b">
        <v>1</v>
      </c>
    </row>
    <row r="28" spans="1:4" hidden="1" x14ac:dyDescent="0.25">
      <c r="A28" s="10"/>
      <c r="B28" s="10"/>
      <c r="C28" s="10"/>
    </row>
    <row r="29" spans="1:4" hidden="1" x14ac:dyDescent="0.25">
      <c r="A29" s="11"/>
      <c r="B29" s="11"/>
      <c r="C29" s="11"/>
    </row>
    <row r="30" spans="1:4" hidden="1" x14ac:dyDescent="0.25">
      <c r="A30" s="10"/>
      <c r="B30" s="10"/>
      <c r="C30" s="10"/>
    </row>
    <row r="31" spans="1:4" hidden="1" x14ac:dyDescent="0.25">
      <c r="A31" s="11">
        <v>2</v>
      </c>
      <c r="B31" s="11" t="s">
        <v>176</v>
      </c>
      <c r="C31" s="11" t="s">
        <v>356</v>
      </c>
      <c r="D31" s="27" t="b">
        <v>1</v>
      </c>
    </row>
    <row r="32" spans="1:4" hidden="1" x14ac:dyDescent="0.25">
      <c r="A32" s="10"/>
      <c r="B32" s="10"/>
      <c r="C32" s="10"/>
    </row>
    <row r="33" spans="1:4" hidden="1" x14ac:dyDescent="0.25">
      <c r="A33" s="11">
        <v>2</v>
      </c>
      <c r="B33" s="11" t="s">
        <v>309</v>
      </c>
      <c r="C33" s="11" t="s">
        <v>357</v>
      </c>
      <c r="D33" s="27" t="b">
        <v>1</v>
      </c>
    </row>
    <row r="34" spans="1:4" x14ac:dyDescent="0.25">
      <c r="A34" s="10"/>
      <c r="B34" s="10"/>
      <c r="C34" s="10"/>
    </row>
  </sheetData>
  <autoFilter ref="A1:C33" xr:uid="{00000000-0001-0000-0100-000000000000}">
    <filterColumn colId="1">
      <filters>
        <filter val="YAG3609TR-N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selection activeCell="C6" sqref="C6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45" customWidth="1"/>
  </cols>
  <sheetData>
    <row r="1" spans="1:3" ht="21.95" customHeight="1" x14ac:dyDescent="0.25">
      <c r="A1" s="12" t="s">
        <v>332</v>
      </c>
      <c r="B1" s="12" t="s">
        <v>358</v>
      </c>
      <c r="C1" s="12" t="s">
        <v>334</v>
      </c>
    </row>
    <row r="2" spans="1:3" ht="18" customHeight="1" x14ac:dyDescent="0.25">
      <c r="A2" s="10">
        <v>1</v>
      </c>
      <c r="B2" s="10" t="s">
        <v>359</v>
      </c>
      <c r="C2" s="10" t="s">
        <v>360</v>
      </c>
    </row>
    <row r="3" spans="1:3" x14ac:dyDescent="0.25">
      <c r="A3" s="26">
        <v>1</v>
      </c>
      <c r="B3" s="25" t="s">
        <v>273</v>
      </c>
      <c r="C3" s="25" t="s">
        <v>361</v>
      </c>
    </row>
    <row r="4" spans="1:3" x14ac:dyDescent="0.25">
      <c r="A4" s="10">
        <v>1</v>
      </c>
      <c r="B4" s="10" t="s">
        <v>362</v>
      </c>
      <c r="C4" s="10" t="s">
        <v>363</v>
      </c>
    </row>
    <row r="5" spans="1:3" x14ac:dyDescent="0.25">
      <c r="A5" s="26">
        <v>2</v>
      </c>
      <c r="B5" s="25" t="s">
        <v>273</v>
      </c>
      <c r="C5" s="25" t="s">
        <v>364</v>
      </c>
    </row>
    <row r="6" spans="1:3" x14ac:dyDescent="0.25">
      <c r="A6" s="10">
        <v>10</v>
      </c>
      <c r="B6" s="10" t="s">
        <v>365</v>
      </c>
      <c r="C6" s="10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Vollständige BOM</vt:lpstr>
      <vt:lpstr>Digikey Upload</vt:lpstr>
      <vt:lpstr>Mouser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Körner</cp:lastModifiedBy>
  <dcterms:created xsi:type="dcterms:W3CDTF">2026-03-20T05:10:04Z</dcterms:created>
  <dcterms:modified xsi:type="dcterms:W3CDTF">2026-05-13T21:29:18Z</dcterms:modified>
</cp:coreProperties>
</file>